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emong\OneDrive\바탕 화면\"/>
    </mc:Choice>
  </mc:AlternateContent>
  <xr:revisionPtr revIDLastSave="0" documentId="13_ncr:1_{B0B58003-5E73-486B-A407-C029A5E8CB7A}" xr6:coauthVersionLast="47" xr6:coauthVersionMax="47" xr10:uidLastSave="{00000000-0000-0000-0000-000000000000}"/>
  <bookViews>
    <workbookView xWindow="15190" yWindow="450" windowWidth="20900" windowHeight="19890" xr2:uid="{CB916000-D3B3-4ED3-BB09-701271D003D1}"/>
  </bookViews>
  <sheets>
    <sheet name="본식 당일" sheetId="1" r:id="rId1"/>
    <sheet name="축의대" sheetId="2" r:id="rId2"/>
    <sheet name="신랑측 축의금" sheetId="8" r:id="rId3"/>
    <sheet name="신부측 축의금" sheetId="9" r:id="rId4"/>
    <sheet name="축의금 정산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7" l="1"/>
  <c r="I7" i="7" s="1"/>
  <c r="I5" i="7"/>
  <c r="H6" i="7"/>
  <c r="H5" i="7"/>
  <c r="F6" i="7"/>
  <c r="F5" i="7"/>
  <c r="E6" i="7"/>
  <c r="E7" i="7" s="1"/>
  <c r="D6" i="7"/>
  <c r="E5" i="7"/>
  <c r="D5" i="7"/>
  <c r="C6" i="7"/>
  <c r="C5" i="7"/>
  <c r="C7" i="7" s="1"/>
  <c r="A11" i="9"/>
  <c r="F11" i="9"/>
  <c r="G11" i="9"/>
  <c r="A12" i="9"/>
  <c r="F12" i="9"/>
  <c r="G12" i="9"/>
  <c r="A13" i="9"/>
  <c r="F13" i="9"/>
  <c r="G13" i="9"/>
  <c r="A14" i="9"/>
  <c r="F14" i="9"/>
  <c r="G14" i="9"/>
  <c r="A15" i="9"/>
  <c r="F15" i="9"/>
  <c r="G15" i="9"/>
  <c r="A16" i="9"/>
  <c r="F16" i="9"/>
  <c r="G16" i="9"/>
  <c r="A17" i="9"/>
  <c r="F17" i="9"/>
  <c r="G17" i="9"/>
  <c r="A18" i="9"/>
  <c r="F18" i="9"/>
  <c r="G18" i="9"/>
  <c r="A19" i="9"/>
  <c r="F19" i="9"/>
  <c r="G19" i="9"/>
  <c r="A20" i="9"/>
  <c r="F20" i="9"/>
  <c r="G20" i="9"/>
  <c r="A21" i="9"/>
  <c r="F21" i="9"/>
  <c r="G21" i="9"/>
  <c r="A22" i="9"/>
  <c r="F22" i="9"/>
  <c r="G22" i="9"/>
  <c r="A23" i="9"/>
  <c r="F23" i="9"/>
  <c r="G23" i="9"/>
  <c r="A24" i="9"/>
  <c r="F24" i="9"/>
  <c r="G24" i="9"/>
  <c r="A25" i="9"/>
  <c r="F25" i="9"/>
  <c r="G25" i="9"/>
  <c r="A26" i="9"/>
  <c r="F26" i="9"/>
  <c r="G26" i="9"/>
  <c r="A27" i="9"/>
  <c r="F27" i="9"/>
  <c r="G27" i="9"/>
  <c r="A28" i="9"/>
  <c r="F28" i="9"/>
  <c r="G28" i="9"/>
  <c r="A29" i="9"/>
  <c r="F29" i="9"/>
  <c r="G29" i="9"/>
  <c r="A30" i="9"/>
  <c r="F30" i="9"/>
  <c r="G30" i="9"/>
  <c r="A31" i="9"/>
  <c r="F31" i="9"/>
  <c r="G31" i="9"/>
  <c r="A32" i="9"/>
  <c r="F32" i="9"/>
  <c r="G32" i="9"/>
  <c r="A33" i="9"/>
  <c r="F33" i="9"/>
  <c r="G33" i="9"/>
  <c r="A34" i="9"/>
  <c r="F34" i="9"/>
  <c r="G34" i="9"/>
  <c r="A35" i="9"/>
  <c r="F35" i="9"/>
  <c r="G35" i="9"/>
  <c r="A36" i="9"/>
  <c r="F36" i="9"/>
  <c r="G36" i="9"/>
  <c r="A37" i="9"/>
  <c r="F37" i="9"/>
  <c r="G37" i="9"/>
  <c r="A38" i="9"/>
  <c r="F38" i="9"/>
  <c r="G38" i="9"/>
  <c r="A39" i="9"/>
  <c r="F39" i="9"/>
  <c r="G39" i="9"/>
  <c r="A40" i="9"/>
  <c r="F40" i="9"/>
  <c r="G40" i="9"/>
  <c r="A41" i="9"/>
  <c r="F41" i="9"/>
  <c r="G41" i="9"/>
  <c r="A42" i="9"/>
  <c r="F42" i="9"/>
  <c r="G42" i="9"/>
  <c r="A43" i="9"/>
  <c r="F43" i="9"/>
  <c r="G43" i="9"/>
  <c r="A44" i="9"/>
  <c r="F44" i="9"/>
  <c r="G44" i="9"/>
  <c r="A45" i="9"/>
  <c r="F45" i="9"/>
  <c r="G45" i="9"/>
  <c r="A46" i="9"/>
  <c r="F46" i="9"/>
  <c r="G46" i="9"/>
  <c r="A47" i="9"/>
  <c r="F47" i="9"/>
  <c r="G47" i="9"/>
  <c r="A48" i="9"/>
  <c r="F48" i="9"/>
  <c r="G48" i="9"/>
  <c r="A49" i="9"/>
  <c r="F49" i="9"/>
  <c r="G49" i="9"/>
  <c r="A50" i="9"/>
  <c r="F50" i="9"/>
  <c r="G50" i="9"/>
  <c r="A51" i="9"/>
  <c r="F51" i="9"/>
  <c r="G51" i="9"/>
  <c r="A52" i="9"/>
  <c r="F52" i="9"/>
  <c r="G52" i="9"/>
  <c r="A53" i="9"/>
  <c r="F53" i="9"/>
  <c r="G53" i="9"/>
  <c r="A54" i="9"/>
  <c r="F54" i="9"/>
  <c r="G54" i="9"/>
  <c r="A55" i="9"/>
  <c r="F55" i="9"/>
  <c r="G55" i="9"/>
  <c r="A56" i="9"/>
  <c r="F56" i="9"/>
  <c r="G56" i="9"/>
  <c r="A57" i="9"/>
  <c r="F57" i="9"/>
  <c r="G57" i="9"/>
  <c r="A58" i="9"/>
  <c r="F58" i="9"/>
  <c r="G58" i="9"/>
  <c r="A59" i="9"/>
  <c r="F59" i="9"/>
  <c r="G59" i="9"/>
  <c r="A60" i="9"/>
  <c r="F60" i="9"/>
  <c r="G60" i="9"/>
  <c r="A61" i="9"/>
  <c r="F61" i="9"/>
  <c r="G61" i="9"/>
  <c r="A62" i="9"/>
  <c r="F62" i="9"/>
  <c r="G62" i="9"/>
  <c r="A63" i="9"/>
  <c r="F63" i="9"/>
  <c r="G63" i="9"/>
  <c r="A64" i="9"/>
  <c r="F64" i="9"/>
  <c r="G64" i="9"/>
  <c r="A65" i="9"/>
  <c r="F65" i="9"/>
  <c r="G65" i="9"/>
  <c r="A66" i="9"/>
  <c r="F66" i="9"/>
  <c r="G66" i="9"/>
  <c r="A67" i="9"/>
  <c r="F67" i="9"/>
  <c r="G67" i="9"/>
  <c r="A68" i="9"/>
  <c r="F68" i="9"/>
  <c r="G68" i="9"/>
  <c r="A69" i="9"/>
  <c r="F69" i="9"/>
  <c r="G69" i="9"/>
  <c r="A70" i="9"/>
  <c r="F70" i="9"/>
  <c r="G70" i="9"/>
  <c r="A71" i="9"/>
  <c r="F71" i="9"/>
  <c r="G71" i="9"/>
  <c r="A72" i="9"/>
  <c r="F72" i="9"/>
  <c r="G72" i="9"/>
  <c r="A73" i="9"/>
  <c r="F73" i="9"/>
  <c r="G73" i="9"/>
  <c r="A74" i="9"/>
  <c r="F74" i="9"/>
  <c r="G74" i="9"/>
  <c r="A75" i="9"/>
  <c r="F75" i="9"/>
  <c r="G75" i="9"/>
  <c r="A76" i="9"/>
  <c r="F76" i="9"/>
  <c r="G76" i="9"/>
  <c r="A77" i="9"/>
  <c r="F77" i="9"/>
  <c r="G77" i="9"/>
  <c r="A78" i="9"/>
  <c r="F78" i="9"/>
  <c r="G78" i="9"/>
  <c r="A79" i="9"/>
  <c r="F79" i="9"/>
  <c r="G79" i="9"/>
  <c r="A80" i="9"/>
  <c r="F80" i="9"/>
  <c r="G80" i="9"/>
  <c r="A81" i="9"/>
  <c r="F81" i="9"/>
  <c r="G81" i="9"/>
  <c r="A82" i="9"/>
  <c r="F82" i="9"/>
  <c r="G82" i="9"/>
  <c r="A83" i="9"/>
  <c r="F83" i="9"/>
  <c r="G83" i="9"/>
  <c r="A84" i="9"/>
  <c r="F84" i="9"/>
  <c r="G84" i="9"/>
  <c r="A85" i="9"/>
  <c r="F85" i="9"/>
  <c r="G85" i="9"/>
  <c r="A86" i="9"/>
  <c r="F86" i="9"/>
  <c r="G86" i="9"/>
  <c r="A87" i="9"/>
  <c r="F87" i="9"/>
  <c r="G87" i="9"/>
  <c r="A88" i="9"/>
  <c r="F88" i="9"/>
  <c r="G88" i="9"/>
  <c r="A89" i="9"/>
  <c r="F89" i="9"/>
  <c r="G89" i="9"/>
  <c r="A90" i="9"/>
  <c r="F90" i="9"/>
  <c r="G90" i="9"/>
  <c r="A91" i="9"/>
  <c r="F91" i="9"/>
  <c r="G91" i="9"/>
  <c r="A92" i="9"/>
  <c r="F92" i="9"/>
  <c r="G92" i="9"/>
  <c r="A93" i="9"/>
  <c r="F93" i="9"/>
  <c r="G93" i="9"/>
  <c r="A94" i="9"/>
  <c r="F94" i="9"/>
  <c r="G94" i="9"/>
  <c r="A95" i="9"/>
  <c r="F95" i="9"/>
  <c r="G95" i="9"/>
  <c r="A96" i="9"/>
  <c r="F96" i="9"/>
  <c r="G96" i="9"/>
  <c r="A97" i="9"/>
  <c r="F97" i="9"/>
  <c r="G97" i="9"/>
  <c r="A98" i="9"/>
  <c r="F98" i="9"/>
  <c r="G98" i="9"/>
  <c r="A99" i="9"/>
  <c r="F99" i="9"/>
  <c r="G99" i="9"/>
  <c r="A100" i="9"/>
  <c r="F100" i="9"/>
  <c r="G100" i="9"/>
  <c r="A101" i="9"/>
  <c r="F101" i="9"/>
  <c r="G101" i="9"/>
  <c r="A102" i="9"/>
  <c r="F102" i="9"/>
  <c r="G102" i="9"/>
  <c r="A103" i="9"/>
  <c r="F103" i="9"/>
  <c r="G103" i="9"/>
  <c r="A104" i="9"/>
  <c r="F104" i="9"/>
  <c r="G104" i="9"/>
  <c r="A105" i="9"/>
  <c r="F105" i="9"/>
  <c r="G105" i="9"/>
  <c r="A106" i="9"/>
  <c r="F106" i="9"/>
  <c r="G106" i="9"/>
  <c r="A107" i="9"/>
  <c r="F107" i="9"/>
  <c r="G107" i="9"/>
  <c r="A108" i="9"/>
  <c r="F108" i="9"/>
  <c r="G108" i="9"/>
  <c r="A109" i="9"/>
  <c r="F109" i="9"/>
  <c r="G109" i="9"/>
  <c r="A110" i="9"/>
  <c r="F110" i="9"/>
  <c r="G110" i="9"/>
  <c r="A111" i="9"/>
  <c r="F111" i="9"/>
  <c r="G111" i="9"/>
  <c r="A112" i="9"/>
  <c r="F112" i="9"/>
  <c r="G112" i="9"/>
  <c r="A113" i="9"/>
  <c r="F113" i="9"/>
  <c r="G113" i="9"/>
  <c r="A114" i="9"/>
  <c r="F114" i="9"/>
  <c r="G114" i="9"/>
  <c r="A115" i="9"/>
  <c r="F115" i="9"/>
  <c r="G115" i="9"/>
  <c r="A116" i="9"/>
  <c r="F116" i="9"/>
  <c r="G116" i="9"/>
  <c r="A117" i="9"/>
  <c r="F117" i="9"/>
  <c r="G117" i="9"/>
  <c r="A118" i="9"/>
  <c r="F118" i="9"/>
  <c r="G118" i="9"/>
  <c r="A119" i="9"/>
  <c r="F119" i="9"/>
  <c r="G119" i="9"/>
  <c r="A120" i="9"/>
  <c r="F120" i="9"/>
  <c r="G120" i="9"/>
  <c r="A121" i="9"/>
  <c r="F121" i="9"/>
  <c r="G121" i="9"/>
  <c r="A122" i="9"/>
  <c r="F122" i="9"/>
  <c r="G122" i="9"/>
  <c r="A123" i="9"/>
  <c r="F123" i="9"/>
  <c r="G123" i="9"/>
  <c r="A124" i="9"/>
  <c r="F124" i="9"/>
  <c r="G124" i="9"/>
  <c r="A125" i="9"/>
  <c r="F125" i="9"/>
  <c r="G125" i="9"/>
  <c r="A126" i="9"/>
  <c r="F126" i="9"/>
  <c r="G126" i="9"/>
  <c r="A127" i="9"/>
  <c r="F127" i="9"/>
  <c r="G127" i="9"/>
  <c r="A128" i="9"/>
  <c r="F128" i="9"/>
  <c r="G128" i="9"/>
  <c r="A129" i="9"/>
  <c r="F129" i="9"/>
  <c r="G129" i="9"/>
  <c r="A130" i="9"/>
  <c r="F130" i="9"/>
  <c r="G130" i="9"/>
  <c r="A131" i="9"/>
  <c r="F131" i="9"/>
  <c r="G131" i="9"/>
  <c r="A132" i="9"/>
  <c r="F132" i="9"/>
  <c r="G132" i="9"/>
  <c r="A133" i="9"/>
  <c r="F133" i="9"/>
  <c r="G133" i="9"/>
  <c r="A134" i="9"/>
  <c r="F134" i="9"/>
  <c r="G134" i="9"/>
  <c r="A135" i="9"/>
  <c r="F135" i="9"/>
  <c r="G135" i="9"/>
  <c r="A136" i="9"/>
  <c r="F136" i="9"/>
  <c r="G136" i="9"/>
  <c r="A137" i="9"/>
  <c r="F137" i="9"/>
  <c r="G137" i="9"/>
  <c r="A138" i="9"/>
  <c r="F138" i="9"/>
  <c r="G138" i="9"/>
  <c r="A139" i="9"/>
  <c r="F139" i="9"/>
  <c r="G139" i="9"/>
  <c r="A140" i="9"/>
  <c r="F140" i="9"/>
  <c r="G140" i="9"/>
  <c r="A141" i="9"/>
  <c r="F141" i="9"/>
  <c r="G141" i="9"/>
  <c r="A142" i="9"/>
  <c r="F142" i="9"/>
  <c r="G142" i="9"/>
  <c r="A143" i="9"/>
  <c r="F143" i="9"/>
  <c r="G143" i="9"/>
  <c r="A144" i="9"/>
  <c r="F144" i="9"/>
  <c r="G144" i="9"/>
  <c r="A145" i="9"/>
  <c r="F145" i="9"/>
  <c r="G145" i="9"/>
  <c r="A146" i="9"/>
  <c r="F146" i="9"/>
  <c r="G146" i="9"/>
  <c r="A147" i="9"/>
  <c r="F147" i="9"/>
  <c r="G147" i="9"/>
  <c r="A148" i="9"/>
  <c r="F148" i="9"/>
  <c r="G148" i="9"/>
  <c r="A149" i="9"/>
  <c r="F149" i="9"/>
  <c r="G149" i="9"/>
  <c r="A150" i="9"/>
  <c r="F150" i="9"/>
  <c r="G150" i="9"/>
  <c r="A151" i="9"/>
  <c r="F151" i="9"/>
  <c r="G151" i="9"/>
  <c r="A152" i="9"/>
  <c r="F152" i="9"/>
  <c r="G152" i="9"/>
  <c r="A153" i="9"/>
  <c r="F153" i="9"/>
  <c r="G153" i="9"/>
  <c r="A154" i="9"/>
  <c r="F154" i="9"/>
  <c r="G154" i="9"/>
  <c r="A155" i="9"/>
  <c r="F155" i="9"/>
  <c r="G155" i="9"/>
  <c r="A156" i="9"/>
  <c r="F156" i="9"/>
  <c r="G156" i="9"/>
  <c r="A157" i="9"/>
  <c r="F157" i="9"/>
  <c r="G157" i="9"/>
  <c r="A158" i="9"/>
  <c r="F158" i="9"/>
  <c r="G158" i="9"/>
  <c r="A159" i="9"/>
  <c r="F159" i="9"/>
  <c r="G159" i="9"/>
  <c r="A160" i="9"/>
  <c r="F160" i="9"/>
  <c r="G160" i="9"/>
  <c r="A161" i="9"/>
  <c r="F161" i="9"/>
  <c r="G161" i="9"/>
  <c r="A162" i="9"/>
  <c r="F162" i="9"/>
  <c r="G162" i="9"/>
  <c r="A163" i="9"/>
  <c r="F163" i="9"/>
  <c r="G163" i="9"/>
  <c r="A164" i="9"/>
  <c r="F164" i="9"/>
  <c r="G164" i="9"/>
  <c r="A165" i="9"/>
  <c r="F165" i="9"/>
  <c r="G165" i="9"/>
  <c r="A166" i="9"/>
  <c r="F166" i="9"/>
  <c r="G166" i="9"/>
  <c r="A167" i="9"/>
  <c r="F167" i="9"/>
  <c r="G167" i="9"/>
  <c r="A168" i="9"/>
  <c r="F168" i="9"/>
  <c r="G168" i="9"/>
  <c r="A169" i="9"/>
  <c r="F169" i="9"/>
  <c r="G169" i="9"/>
  <c r="A170" i="9"/>
  <c r="F170" i="9"/>
  <c r="G170" i="9"/>
  <c r="A171" i="9"/>
  <c r="F171" i="9"/>
  <c r="G171" i="9"/>
  <c r="A172" i="9"/>
  <c r="F172" i="9"/>
  <c r="G172" i="9"/>
  <c r="A173" i="9"/>
  <c r="F173" i="9"/>
  <c r="G173" i="9"/>
  <c r="A174" i="9"/>
  <c r="F174" i="9"/>
  <c r="G174" i="9"/>
  <c r="A175" i="9"/>
  <c r="F175" i="9"/>
  <c r="G175" i="9"/>
  <c r="A176" i="9"/>
  <c r="F176" i="9"/>
  <c r="G176" i="9"/>
  <c r="A177" i="9"/>
  <c r="F177" i="9"/>
  <c r="G177" i="9"/>
  <c r="A178" i="9"/>
  <c r="F178" i="9"/>
  <c r="G178" i="9"/>
  <c r="A179" i="9"/>
  <c r="F179" i="9"/>
  <c r="G179" i="9"/>
  <c r="A180" i="9"/>
  <c r="F180" i="9"/>
  <c r="G180" i="9"/>
  <c r="A181" i="9"/>
  <c r="F181" i="9"/>
  <c r="G181" i="9"/>
  <c r="A182" i="9"/>
  <c r="F182" i="9"/>
  <c r="G182" i="9"/>
  <c r="A183" i="9"/>
  <c r="F183" i="9"/>
  <c r="G183" i="9"/>
  <c r="A184" i="9"/>
  <c r="F184" i="9"/>
  <c r="G184" i="9"/>
  <c r="A185" i="9"/>
  <c r="F185" i="9"/>
  <c r="G185" i="9"/>
  <c r="A186" i="9"/>
  <c r="F186" i="9"/>
  <c r="G186" i="9"/>
  <c r="A187" i="9"/>
  <c r="F187" i="9"/>
  <c r="G187" i="9"/>
  <c r="A188" i="9"/>
  <c r="F188" i="9"/>
  <c r="G188" i="9"/>
  <c r="A189" i="9"/>
  <c r="F189" i="9"/>
  <c r="G189" i="9"/>
  <c r="A190" i="9"/>
  <c r="F190" i="9"/>
  <c r="G190" i="9"/>
  <c r="A191" i="9"/>
  <c r="F191" i="9"/>
  <c r="G191" i="9"/>
  <c r="A192" i="9"/>
  <c r="F192" i="9"/>
  <c r="G192" i="9"/>
  <c r="A193" i="9"/>
  <c r="F193" i="9"/>
  <c r="G193" i="9"/>
  <c r="A194" i="9"/>
  <c r="F194" i="9"/>
  <c r="G194" i="9"/>
  <c r="A195" i="9"/>
  <c r="F195" i="9"/>
  <c r="G195" i="9"/>
  <c r="A196" i="9"/>
  <c r="F196" i="9"/>
  <c r="G196" i="9"/>
  <c r="A197" i="9"/>
  <c r="F197" i="9"/>
  <c r="G197" i="9"/>
  <c r="A198" i="9"/>
  <c r="F198" i="9"/>
  <c r="G198" i="9"/>
  <c r="A199" i="9"/>
  <c r="F199" i="9"/>
  <c r="G199" i="9"/>
  <c r="A200" i="9"/>
  <c r="F200" i="9"/>
  <c r="G200" i="9"/>
  <c r="A201" i="9"/>
  <c r="F201" i="9"/>
  <c r="G201" i="9"/>
  <c r="A202" i="9"/>
  <c r="F202" i="9"/>
  <c r="G202" i="9"/>
  <c r="A203" i="9"/>
  <c r="F203" i="9"/>
  <c r="G203" i="9"/>
  <c r="A204" i="9"/>
  <c r="F204" i="9"/>
  <c r="G204" i="9"/>
  <c r="A205" i="9"/>
  <c r="F205" i="9"/>
  <c r="G205" i="9"/>
  <c r="A206" i="9"/>
  <c r="F206" i="9"/>
  <c r="G206" i="9"/>
  <c r="A207" i="9"/>
  <c r="F207" i="9"/>
  <c r="G207" i="9"/>
  <c r="A208" i="9"/>
  <c r="F208" i="9"/>
  <c r="G208" i="9"/>
  <c r="A209" i="9"/>
  <c r="F209" i="9"/>
  <c r="G209" i="9"/>
  <c r="A210" i="9"/>
  <c r="F210" i="9"/>
  <c r="G210" i="9"/>
  <c r="A211" i="9"/>
  <c r="F211" i="9"/>
  <c r="G211" i="9"/>
  <c r="A212" i="9"/>
  <c r="F212" i="9"/>
  <c r="G212" i="9"/>
  <c r="A213" i="9"/>
  <c r="F213" i="9"/>
  <c r="G213" i="9"/>
  <c r="A214" i="9"/>
  <c r="F214" i="9"/>
  <c r="G214" i="9"/>
  <c r="A215" i="9"/>
  <c r="F215" i="9"/>
  <c r="G215" i="9"/>
  <c r="A216" i="9"/>
  <c r="F216" i="9"/>
  <c r="G216" i="9"/>
  <c r="A217" i="9"/>
  <c r="F217" i="9"/>
  <c r="G217" i="9"/>
  <c r="A218" i="9"/>
  <c r="F218" i="9"/>
  <c r="G218" i="9"/>
  <c r="A219" i="9"/>
  <c r="F219" i="9"/>
  <c r="G219" i="9"/>
  <c r="A220" i="9"/>
  <c r="F220" i="9"/>
  <c r="G220" i="9"/>
  <c r="A221" i="9"/>
  <c r="F221" i="9"/>
  <c r="G221" i="9"/>
  <c r="A222" i="9"/>
  <c r="F222" i="9"/>
  <c r="G222" i="9"/>
  <c r="A223" i="9"/>
  <c r="F223" i="9"/>
  <c r="G223" i="9"/>
  <c r="A224" i="9"/>
  <c r="F224" i="9"/>
  <c r="G224" i="9"/>
  <c r="A225" i="9"/>
  <c r="F225" i="9"/>
  <c r="G225" i="9"/>
  <c r="A226" i="9"/>
  <c r="F226" i="9"/>
  <c r="G226" i="9"/>
  <c r="A227" i="9"/>
  <c r="F227" i="9"/>
  <c r="G227" i="9"/>
  <c r="A228" i="9"/>
  <c r="F228" i="9"/>
  <c r="G228" i="9"/>
  <c r="A229" i="9"/>
  <c r="F229" i="9"/>
  <c r="G229" i="9"/>
  <c r="A230" i="9"/>
  <c r="F230" i="9"/>
  <c r="G230" i="9"/>
  <c r="A231" i="9"/>
  <c r="F231" i="9"/>
  <c r="G231" i="9"/>
  <c r="A232" i="9"/>
  <c r="F232" i="9"/>
  <c r="G232" i="9"/>
  <c r="A233" i="9"/>
  <c r="F233" i="9"/>
  <c r="G233" i="9"/>
  <c r="A234" i="9"/>
  <c r="F234" i="9"/>
  <c r="G234" i="9"/>
  <c r="A235" i="9"/>
  <c r="F235" i="9"/>
  <c r="G235" i="9"/>
  <c r="A236" i="9"/>
  <c r="F236" i="9"/>
  <c r="G236" i="9"/>
  <c r="A237" i="9"/>
  <c r="F237" i="9"/>
  <c r="G237" i="9"/>
  <c r="A238" i="9"/>
  <c r="F238" i="9"/>
  <c r="G238" i="9"/>
  <c r="A239" i="9"/>
  <c r="F239" i="9"/>
  <c r="G239" i="9"/>
  <c r="A240" i="9"/>
  <c r="F240" i="9"/>
  <c r="G240" i="9"/>
  <c r="A241" i="9"/>
  <c r="F241" i="9"/>
  <c r="G241" i="9"/>
  <c r="A242" i="9"/>
  <c r="F242" i="9"/>
  <c r="G242" i="9"/>
  <c r="A243" i="9"/>
  <c r="F243" i="9"/>
  <c r="G243" i="9"/>
  <c r="A244" i="9"/>
  <c r="F244" i="9"/>
  <c r="G244" i="9"/>
  <c r="A245" i="9"/>
  <c r="F245" i="9"/>
  <c r="G245" i="9"/>
  <c r="A246" i="9"/>
  <c r="F246" i="9"/>
  <c r="G246" i="9"/>
  <c r="A247" i="9"/>
  <c r="F247" i="9"/>
  <c r="G247" i="9"/>
  <c r="A248" i="9"/>
  <c r="F248" i="9"/>
  <c r="G248" i="9"/>
  <c r="A249" i="9"/>
  <c r="F249" i="9"/>
  <c r="G249" i="9"/>
  <c r="A250" i="9"/>
  <c r="F250" i="9"/>
  <c r="G250" i="9"/>
  <c r="A251" i="9"/>
  <c r="F251" i="9"/>
  <c r="G251" i="9"/>
  <c r="A252" i="9"/>
  <c r="F252" i="9"/>
  <c r="G252" i="9"/>
  <c r="A253" i="9"/>
  <c r="F253" i="9"/>
  <c r="G253" i="9"/>
  <c r="A254" i="9"/>
  <c r="F254" i="9"/>
  <c r="G254" i="9"/>
  <c r="A255" i="9"/>
  <c r="F255" i="9"/>
  <c r="G255" i="9"/>
  <c r="A256" i="9"/>
  <c r="F256" i="9"/>
  <c r="G256" i="9"/>
  <c r="A257" i="9"/>
  <c r="F257" i="9"/>
  <c r="G257" i="9"/>
  <c r="A258" i="9"/>
  <c r="F258" i="9"/>
  <c r="G258" i="9"/>
  <c r="A259" i="9"/>
  <c r="F259" i="9"/>
  <c r="G259" i="9"/>
  <c r="F10" i="9"/>
  <c r="G10" i="9" s="1"/>
  <c r="A10" i="9"/>
  <c r="D5" i="9"/>
  <c r="C5" i="9"/>
  <c r="F5" i="9" s="1"/>
  <c r="B5" i="9"/>
  <c r="A5" i="9"/>
  <c r="A11" i="8"/>
  <c r="F11" i="8"/>
  <c r="G11" i="8"/>
  <c r="A12" i="8"/>
  <c r="F12" i="8"/>
  <c r="G12" i="8"/>
  <c r="A13" i="8"/>
  <c r="F13" i="8"/>
  <c r="G13" i="8"/>
  <c r="A14" i="8"/>
  <c r="F14" i="8"/>
  <c r="G14" i="8"/>
  <c r="A15" i="8"/>
  <c r="F15" i="8"/>
  <c r="G15" i="8"/>
  <c r="A16" i="8"/>
  <c r="F16" i="8"/>
  <c r="G16" i="8"/>
  <c r="A17" i="8"/>
  <c r="F17" i="8"/>
  <c r="G17" i="8"/>
  <c r="A18" i="8"/>
  <c r="F18" i="8"/>
  <c r="G18" i="8"/>
  <c r="A19" i="8"/>
  <c r="F19" i="8"/>
  <c r="G19" i="8"/>
  <c r="A20" i="8"/>
  <c r="F20" i="8"/>
  <c r="G20" i="8"/>
  <c r="A21" i="8"/>
  <c r="F21" i="8"/>
  <c r="G21" i="8"/>
  <c r="A22" i="8"/>
  <c r="F22" i="8"/>
  <c r="G22" i="8"/>
  <c r="A23" i="8"/>
  <c r="F23" i="8"/>
  <c r="G23" i="8"/>
  <c r="A24" i="8"/>
  <c r="F24" i="8"/>
  <c r="G24" i="8"/>
  <c r="A25" i="8"/>
  <c r="F25" i="8"/>
  <c r="G25" i="8"/>
  <c r="A26" i="8"/>
  <c r="F26" i="8"/>
  <c r="G26" i="8"/>
  <c r="A27" i="8"/>
  <c r="F27" i="8"/>
  <c r="G27" i="8"/>
  <c r="A28" i="8"/>
  <c r="F28" i="8"/>
  <c r="G28" i="8"/>
  <c r="A29" i="8"/>
  <c r="F29" i="8"/>
  <c r="G29" i="8"/>
  <c r="A30" i="8"/>
  <c r="F30" i="8"/>
  <c r="G30" i="8"/>
  <c r="A31" i="8"/>
  <c r="F31" i="8"/>
  <c r="G31" i="8"/>
  <c r="A32" i="8"/>
  <c r="F32" i="8"/>
  <c r="G32" i="8"/>
  <c r="A33" i="8"/>
  <c r="F33" i="8"/>
  <c r="G33" i="8"/>
  <c r="A34" i="8"/>
  <c r="F34" i="8"/>
  <c r="G34" i="8"/>
  <c r="A35" i="8"/>
  <c r="F35" i="8"/>
  <c r="G35" i="8"/>
  <c r="A36" i="8"/>
  <c r="F36" i="8"/>
  <c r="G36" i="8"/>
  <c r="A37" i="8"/>
  <c r="F37" i="8"/>
  <c r="G37" i="8"/>
  <c r="A38" i="8"/>
  <c r="F38" i="8"/>
  <c r="G38" i="8"/>
  <c r="A39" i="8"/>
  <c r="F39" i="8"/>
  <c r="G39" i="8"/>
  <c r="A40" i="8"/>
  <c r="F40" i="8"/>
  <c r="G40" i="8"/>
  <c r="A41" i="8"/>
  <c r="F41" i="8"/>
  <c r="G41" i="8"/>
  <c r="A42" i="8"/>
  <c r="F42" i="8"/>
  <c r="G42" i="8"/>
  <c r="A43" i="8"/>
  <c r="F43" i="8"/>
  <c r="G43" i="8"/>
  <c r="A44" i="8"/>
  <c r="F44" i="8"/>
  <c r="G44" i="8"/>
  <c r="A45" i="8"/>
  <c r="F45" i="8"/>
  <c r="G45" i="8"/>
  <c r="A46" i="8"/>
  <c r="F46" i="8"/>
  <c r="G46" i="8"/>
  <c r="A47" i="8"/>
  <c r="F47" i="8"/>
  <c r="G47" i="8"/>
  <c r="A48" i="8"/>
  <c r="F48" i="8"/>
  <c r="G48" i="8"/>
  <c r="A49" i="8"/>
  <c r="F49" i="8"/>
  <c r="G49" i="8"/>
  <c r="A50" i="8"/>
  <c r="F50" i="8"/>
  <c r="G50" i="8"/>
  <c r="A51" i="8"/>
  <c r="F51" i="8"/>
  <c r="G51" i="8"/>
  <c r="A52" i="8"/>
  <c r="F52" i="8"/>
  <c r="G52" i="8"/>
  <c r="A53" i="8"/>
  <c r="F53" i="8"/>
  <c r="G53" i="8"/>
  <c r="A54" i="8"/>
  <c r="F54" i="8"/>
  <c r="G54" i="8"/>
  <c r="A55" i="8"/>
  <c r="F55" i="8"/>
  <c r="G55" i="8"/>
  <c r="A56" i="8"/>
  <c r="F56" i="8"/>
  <c r="G56" i="8"/>
  <c r="A57" i="8"/>
  <c r="F57" i="8"/>
  <c r="G57" i="8"/>
  <c r="A58" i="8"/>
  <c r="F58" i="8"/>
  <c r="G58" i="8"/>
  <c r="A59" i="8"/>
  <c r="F59" i="8"/>
  <c r="G59" i="8"/>
  <c r="A60" i="8"/>
  <c r="F60" i="8"/>
  <c r="G60" i="8"/>
  <c r="A61" i="8"/>
  <c r="F61" i="8"/>
  <c r="G61" i="8"/>
  <c r="A62" i="8"/>
  <c r="F62" i="8"/>
  <c r="G62" i="8"/>
  <c r="A63" i="8"/>
  <c r="F63" i="8"/>
  <c r="G63" i="8"/>
  <c r="A64" i="8"/>
  <c r="F64" i="8"/>
  <c r="G64" i="8"/>
  <c r="A65" i="8"/>
  <c r="F65" i="8"/>
  <c r="G65" i="8"/>
  <c r="A66" i="8"/>
  <c r="F66" i="8"/>
  <c r="G66" i="8"/>
  <c r="A67" i="8"/>
  <c r="F67" i="8"/>
  <c r="G67" i="8"/>
  <c r="A68" i="8"/>
  <c r="F68" i="8"/>
  <c r="G68" i="8"/>
  <c r="A69" i="8"/>
  <c r="F69" i="8"/>
  <c r="G69" i="8"/>
  <c r="A70" i="8"/>
  <c r="F70" i="8"/>
  <c r="G70" i="8"/>
  <c r="A71" i="8"/>
  <c r="F71" i="8"/>
  <c r="G71" i="8"/>
  <c r="A72" i="8"/>
  <c r="F72" i="8"/>
  <c r="G72" i="8"/>
  <c r="A73" i="8"/>
  <c r="F73" i="8"/>
  <c r="G73" i="8"/>
  <c r="A74" i="8"/>
  <c r="F74" i="8"/>
  <c r="G74" i="8"/>
  <c r="A75" i="8"/>
  <c r="F75" i="8"/>
  <c r="G75" i="8"/>
  <c r="A76" i="8"/>
  <c r="F76" i="8"/>
  <c r="G76" i="8"/>
  <c r="A77" i="8"/>
  <c r="F77" i="8"/>
  <c r="G77" i="8"/>
  <c r="A78" i="8"/>
  <c r="F78" i="8"/>
  <c r="G78" i="8"/>
  <c r="A79" i="8"/>
  <c r="F79" i="8"/>
  <c r="G79" i="8"/>
  <c r="A80" i="8"/>
  <c r="F80" i="8"/>
  <c r="G80" i="8"/>
  <c r="A81" i="8"/>
  <c r="F81" i="8"/>
  <c r="G81" i="8"/>
  <c r="A82" i="8"/>
  <c r="F82" i="8"/>
  <c r="G82" i="8"/>
  <c r="A83" i="8"/>
  <c r="F83" i="8"/>
  <c r="G83" i="8"/>
  <c r="A84" i="8"/>
  <c r="F84" i="8"/>
  <c r="G84" i="8"/>
  <c r="A85" i="8"/>
  <c r="F85" i="8"/>
  <c r="G85" i="8"/>
  <c r="A86" i="8"/>
  <c r="F86" i="8"/>
  <c r="G86" i="8"/>
  <c r="A87" i="8"/>
  <c r="F87" i="8"/>
  <c r="G87" i="8"/>
  <c r="A88" i="8"/>
  <c r="F88" i="8"/>
  <c r="G88" i="8"/>
  <c r="A89" i="8"/>
  <c r="F89" i="8"/>
  <c r="G89" i="8"/>
  <c r="A90" i="8"/>
  <c r="F90" i="8"/>
  <c r="G90" i="8"/>
  <c r="A91" i="8"/>
  <c r="F91" i="8"/>
  <c r="G91" i="8"/>
  <c r="A92" i="8"/>
  <c r="F92" i="8"/>
  <c r="G92" i="8"/>
  <c r="A93" i="8"/>
  <c r="F93" i="8"/>
  <c r="G93" i="8"/>
  <c r="A94" i="8"/>
  <c r="F94" i="8"/>
  <c r="G94" i="8"/>
  <c r="A95" i="8"/>
  <c r="F95" i="8"/>
  <c r="G95" i="8"/>
  <c r="A96" i="8"/>
  <c r="F96" i="8"/>
  <c r="G96" i="8"/>
  <c r="A97" i="8"/>
  <c r="F97" i="8"/>
  <c r="G97" i="8"/>
  <c r="A98" i="8"/>
  <c r="F98" i="8"/>
  <c r="G98" i="8"/>
  <c r="A99" i="8"/>
  <c r="F99" i="8"/>
  <c r="G99" i="8"/>
  <c r="A100" i="8"/>
  <c r="F100" i="8"/>
  <c r="G100" i="8"/>
  <c r="A101" i="8"/>
  <c r="F101" i="8"/>
  <c r="G101" i="8"/>
  <c r="A102" i="8"/>
  <c r="F102" i="8"/>
  <c r="G102" i="8"/>
  <c r="A103" i="8"/>
  <c r="F103" i="8"/>
  <c r="G103" i="8"/>
  <c r="A104" i="8"/>
  <c r="F104" i="8"/>
  <c r="G104" i="8"/>
  <c r="A105" i="8"/>
  <c r="F105" i="8"/>
  <c r="G105" i="8"/>
  <c r="A106" i="8"/>
  <c r="F106" i="8"/>
  <c r="G106" i="8"/>
  <c r="A107" i="8"/>
  <c r="F107" i="8"/>
  <c r="G107" i="8"/>
  <c r="A108" i="8"/>
  <c r="F108" i="8"/>
  <c r="G108" i="8"/>
  <c r="A109" i="8"/>
  <c r="F109" i="8"/>
  <c r="G109" i="8"/>
  <c r="A110" i="8"/>
  <c r="F110" i="8"/>
  <c r="G110" i="8"/>
  <c r="A111" i="8"/>
  <c r="F111" i="8"/>
  <c r="G111" i="8"/>
  <c r="A112" i="8"/>
  <c r="F112" i="8"/>
  <c r="G112" i="8"/>
  <c r="A113" i="8"/>
  <c r="F113" i="8"/>
  <c r="G113" i="8"/>
  <c r="A114" i="8"/>
  <c r="F114" i="8"/>
  <c r="G114" i="8"/>
  <c r="A115" i="8"/>
  <c r="F115" i="8"/>
  <c r="G115" i="8"/>
  <c r="A116" i="8"/>
  <c r="F116" i="8"/>
  <c r="G116" i="8"/>
  <c r="A117" i="8"/>
  <c r="F117" i="8"/>
  <c r="G117" i="8"/>
  <c r="A118" i="8"/>
  <c r="F118" i="8"/>
  <c r="G118" i="8"/>
  <c r="A119" i="8"/>
  <c r="F119" i="8"/>
  <c r="G119" i="8"/>
  <c r="A120" i="8"/>
  <c r="F120" i="8"/>
  <c r="G120" i="8"/>
  <c r="A121" i="8"/>
  <c r="F121" i="8"/>
  <c r="G121" i="8"/>
  <c r="A122" i="8"/>
  <c r="F122" i="8"/>
  <c r="G122" i="8"/>
  <c r="A123" i="8"/>
  <c r="F123" i="8"/>
  <c r="G123" i="8"/>
  <c r="A124" i="8"/>
  <c r="F124" i="8"/>
  <c r="G124" i="8"/>
  <c r="A125" i="8"/>
  <c r="F125" i="8"/>
  <c r="G125" i="8"/>
  <c r="A126" i="8"/>
  <c r="F126" i="8"/>
  <c r="G126" i="8"/>
  <c r="A127" i="8"/>
  <c r="F127" i="8"/>
  <c r="G127" i="8"/>
  <c r="A128" i="8"/>
  <c r="F128" i="8"/>
  <c r="G128" i="8"/>
  <c r="A129" i="8"/>
  <c r="F129" i="8"/>
  <c r="G129" i="8"/>
  <c r="A130" i="8"/>
  <c r="F130" i="8"/>
  <c r="G130" i="8"/>
  <c r="A131" i="8"/>
  <c r="F131" i="8"/>
  <c r="G131" i="8"/>
  <c r="A132" i="8"/>
  <c r="F132" i="8"/>
  <c r="G132" i="8"/>
  <c r="A133" i="8"/>
  <c r="F133" i="8"/>
  <c r="G133" i="8"/>
  <c r="A134" i="8"/>
  <c r="F134" i="8"/>
  <c r="G134" i="8"/>
  <c r="A135" i="8"/>
  <c r="F135" i="8"/>
  <c r="G135" i="8"/>
  <c r="A136" i="8"/>
  <c r="F136" i="8"/>
  <c r="G136" i="8"/>
  <c r="A137" i="8"/>
  <c r="F137" i="8"/>
  <c r="G137" i="8"/>
  <c r="A138" i="8"/>
  <c r="F138" i="8"/>
  <c r="G138" i="8"/>
  <c r="A139" i="8"/>
  <c r="F139" i="8"/>
  <c r="G139" i="8"/>
  <c r="A140" i="8"/>
  <c r="F140" i="8"/>
  <c r="G140" i="8"/>
  <c r="A141" i="8"/>
  <c r="F141" i="8"/>
  <c r="G141" i="8"/>
  <c r="A142" i="8"/>
  <c r="F142" i="8"/>
  <c r="G142" i="8"/>
  <c r="A143" i="8"/>
  <c r="F143" i="8"/>
  <c r="G143" i="8"/>
  <c r="A144" i="8"/>
  <c r="F144" i="8"/>
  <c r="G144" i="8"/>
  <c r="A145" i="8"/>
  <c r="F145" i="8"/>
  <c r="G145" i="8"/>
  <c r="A146" i="8"/>
  <c r="F146" i="8"/>
  <c r="G146" i="8"/>
  <c r="A147" i="8"/>
  <c r="F147" i="8"/>
  <c r="G147" i="8"/>
  <c r="A148" i="8"/>
  <c r="F148" i="8"/>
  <c r="G148" i="8"/>
  <c r="A149" i="8"/>
  <c r="F149" i="8"/>
  <c r="G149" i="8"/>
  <c r="A150" i="8"/>
  <c r="F150" i="8"/>
  <c r="G150" i="8"/>
  <c r="A151" i="8"/>
  <c r="F151" i="8"/>
  <c r="G151" i="8"/>
  <c r="A152" i="8"/>
  <c r="F152" i="8"/>
  <c r="G152" i="8"/>
  <c r="A153" i="8"/>
  <c r="F153" i="8"/>
  <c r="G153" i="8"/>
  <c r="A154" i="8"/>
  <c r="F154" i="8"/>
  <c r="G154" i="8"/>
  <c r="A155" i="8"/>
  <c r="F155" i="8"/>
  <c r="G155" i="8"/>
  <c r="A156" i="8"/>
  <c r="F156" i="8"/>
  <c r="G156" i="8"/>
  <c r="A157" i="8"/>
  <c r="F157" i="8"/>
  <c r="G157" i="8"/>
  <c r="A158" i="8"/>
  <c r="F158" i="8"/>
  <c r="G158" i="8"/>
  <c r="A159" i="8"/>
  <c r="F159" i="8"/>
  <c r="G159" i="8"/>
  <c r="A160" i="8"/>
  <c r="F160" i="8"/>
  <c r="G160" i="8"/>
  <c r="A161" i="8"/>
  <c r="F161" i="8"/>
  <c r="G161" i="8"/>
  <c r="A162" i="8"/>
  <c r="F162" i="8"/>
  <c r="G162" i="8"/>
  <c r="A163" i="8"/>
  <c r="F163" i="8"/>
  <c r="G163" i="8"/>
  <c r="A164" i="8"/>
  <c r="F164" i="8"/>
  <c r="G164" i="8"/>
  <c r="A165" i="8"/>
  <c r="F165" i="8"/>
  <c r="G165" i="8"/>
  <c r="A166" i="8"/>
  <c r="F166" i="8"/>
  <c r="G166" i="8"/>
  <c r="A167" i="8"/>
  <c r="F167" i="8"/>
  <c r="G167" i="8"/>
  <c r="A168" i="8"/>
  <c r="F168" i="8"/>
  <c r="G168" i="8"/>
  <c r="A169" i="8"/>
  <c r="F169" i="8"/>
  <c r="G169" i="8"/>
  <c r="A170" i="8"/>
  <c r="F170" i="8"/>
  <c r="G170" i="8"/>
  <c r="A171" i="8"/>
  <c r="F171" i="8"/>
  <c r="G171" i="8"/>
  <c r="A172" i="8"/>
  <c r="F172" i="8"/>
  <c r="G172" i="8"/>
  <c r="A173" i="8"/>
  <c r="F173" i="8"/>
  <c r="G173" i="8"/>
  <c r="A174" i="8"/>
  <c r="F174" i="8"/>
  <c r="G174" i="8"/>
  <c r="A175" i="8"/>
  <c r="F175" i="8"/>
  <c r="G175" i="8"/>
  <c r="A176" i="8"/>
  <c r="F176" i="8"/>
  <c r="G176" i="8"/>
  <c r="A177" i="8"/>
  <c r="F177" i="8"/>
  <c r="G177" i="8"/>
  <c r="A178" i="8"/>
  <c r="F178" i="8"/>
  <c r="G178" i="8"/>
  <c r="A179" i="8"/>
  <c r="F179" i="8"/>
  <c r="G179" i="8"/>
  <c r="A180" i="8"/>
  <c r="F180" i="8"/>
  <c r="G180" i="8"/>
  <c r="A181" i="8"/>
  <c r="F181" i="8"/>
  <c r="G181" i="8"/>
  <c r="A182" i="8"/>
  <c r="F182" i="8"/>
  <c r="G182" i="8"/>
  <c r="A183" i="8"/>
  <c r="F183" i="8"/>
  <c r="G183" i="8"/>
  <c r="A184" i="8"/>
  <c r="F184" i="8"/>
  <c r="G184" i="8"/>
  <c r="A185" i="8"/>
  <c r="F185" i="8"/>
  <c r="G185" i="8"/>
  <c r="A186" i="8"/>
  <c r="F186" i="8"/>
  <c r="G186" i="8"/>
  <c r="A187" i="8"/>
  <c r="F187" i="8"/>
  <c r="G187" i="8"/>
  <c r="A188" i="8"/>
  <c r="F188" i="8"/>
  <c r="G188" i="8"/>
  <c r="A189" i="8"/>
  <c r="F189" i="8"/>
  <c r="G189" i="8"/>
  <c r="A190" i="8"/>
  <c r="F190" i="8"/>
  <c r="G190" i="8"/>
  <c r="A191" i="8"/>
  <c r="F191" i="8"/>
  <c r="G191" i="8"/>
  <c r="A192" i="8"/>
  <c r="F192" i="8"/>
  <c r="G192" i="8"/>
  <c r="A193" i="8"/>
  <c r="F193" i="8"/>
  <c r="G193" i="8"/>
  <c r="A194" i="8"/>
  <c r="F194" i="8"/>
  <c r="G194" i="8"/>
  <c r="A195" i="8"/>
  <c r="F195" i="8"/>
  <c r="G195" i="8"/>
  <c r="A196" i="8"/>
  <c r="F196" i="8"/>
  <c r="G196" i="8"/>
  <c r="A197" i="8"/>
  <c r="F197" i="8"/>
  <c r="G197" i="8"/>
  <c r="A198" i="8"/>
  <c r="F198" i="8"/>
  <c r="G198" i="8"/>
  <c r="A199" i="8"/>
  <c r="F199" i="8"/>
  <c r="G199" i="8"/>
  <c r="A200" i="8"/>
  <c r="F200" i="8"/>
  <c r="G200" i="8"/>
  <c r="A201" i="8"/>
  <c r="F201" i="8"/>
  <c r="G201" i="8"/>
  <c r="A202" i="8"/>
  <c r="F202" i="8"/>
  <c r="G202" i="8"/>
  <c r="A203" i="8"/>
  <c r="F203" i="8"/>
  <c r="G203" i="8"/>
  <c r="A204" i="8"/>
  <c r="F204" i="8"/>
  <c r="G204" i="8"/>
  <c r="A205" i="8"/>
  <c r="F205" i="8"/>
  <c r="G205" i="8"/>
  <c r="A206" i="8"/>
  <c r="F206" i="8"/>
  <c r="G206" i="8"/>
  <c r="A207" i="8"/>
  <c r="F207" i="8"/>
  <c r="G207" i="8"/>
  <c r="A208" i="8"/>
  <c r="F208" i="8"/>
  <c r="G208" i="8"/>
  <c r="A209" i="8"/>
  <c r="F209" i="8"/>
  <c r="G209" i="8"/>
  <c r="A210" i="8"/>
  <c r="F210" i="8"/>
  <c r="G210" i="8"/>
  <c r="A211" i="8"/>
  <c r="F211" i="8"/>
  <c r="G211" i="8"/>
  <c r="A212" i="8"/>
  <c r="F212" i="8"/>
  <c r="G212" i="8"/>
  <c r="A213" i="8"/>
  <c r="F213" i="8"/>
  <c r="G213" i="8"/>
  <c r="A214" i="8"/>
  <c r="F214" i="8"/>
  <c r="G214" i="8"/>
  <c r="A215" i="8"/>
  <c r="F215" i="8"/>
  <c r="G215" i="8"/>
  <c r="A216" i="8"/>
  <c r="F216" i="8"/>
  <c r="G216" i="8"/>
  <c r="A217" i="8"/>
  <c r="F217" i="8"/>
  <c r="G217" i="8"/>
  <c r="A218" i="8"/>
  <c r="F218" i="8"/>
  <c r="G218" i="8"/>
  <c r="A219" i="8"/>
  <c r="F219" i="8"/>
  <c r="G219" i="8"/>
  <c r="A220" i="8"/>
  <c r="F220" i="8"/>
  <c r="G220" i="8"/>
  <c r="A221" i="8"/>
  <c r="F221" i="8"/>
  <c r="G221" i="8"/>
  <c r="A222" i="8"/>
  <c r="F222" i="8"/>
  <c r="G222" i="8"/>
  <c r="A223" i="8"/>
  <c r="F223" i="8"/>
  <c r="G223" i="8"/>
  <c r="A224" i="8"/>
  <c r="F224" i="8"/>
  <c r="G224" i="8"/>
  <c r="A225" i="8"/>
  <c r="F225" i="8"/>
  <c r="G225" i="8"/>
  <c r="A226" i="8"/>
  <c r="F226" i="8"/>
  <c r="G226" i="8"/>
  <c r="A227" i="8"/>
  <c r="F227" i="8"/>
  <c r="G227" i="8"/>
  <c r="A228" i="8"/>
  <c r="F228" i="8"/>
  <c r="G228" i="8"/>
  <c r="A229" i="8"/>
  <c r="F229" i="8"/>
  <c r="G229" i="8"/>
  <c r="A230" i="8"/>
  <c r="F230" i="8"/>
  <c r="G230" i="8"/>
  <c r="A231" i="8"/>
  <c r="F231" i="8"/>
  <c r="G231" i="8"/>
  <c r="A232" i="8"/>
  <c r="F232" i="8"/>
  <c r="G232" i="8"/>
  <c r="A233" i="8"/>
  <c r="F233" i="8"/>
  <c r="G233" i="8"/>
  <c r="A234" i="8"/>
  <c r="F234" i="8"/>
  <c r="G234" i="8"/>
  <c r="A235" i="8"/>
  <c r="F235" i="8"/>
  <c r="G235" i="8"/>
  <c r="A236" i="8"/>
  <c r="F236" i="8"/>
  <c r="G236" i="8"/>
  <c r="A237" i="8"/>
  <c r="F237" i="8"/>
  <c r="G237" i="8"/>
  <c r="A238" i="8"/>
  <c r="F238" i="8"/>
  <c r="G238" i="8"/>
  <c r="A239" i="8"/>
  <c r="F239" i="8"/>
  <c r="G239" i="8"/>
  <c r="A240" i="8"/>
  <c r="F240" i="8"/>
  <c r="G240" i="8"/>
  <c r="A241" i="8"/>
  <c r="F241" i="8"/>
  <c r="G241" i="8"/>
  <c r="A242" i="8"/>
  <c r="F242" i="8"/>
  <c r="G242" i="8"/>
  <c r="A243" i="8"/>
  <c r="F243" i="8"/>
  <c r="G243" i="8"/>
  <c r="A244" i="8"/>
  <c r="F244" i="8"/>
  <c r="G244" i="8"/>
  <c r="A245" i="8"/>
  <c r="F245" i="8"/>
  <c r="G245" i="8"/>
  <c r="A246" i="8"/>
  <c r="F246" i="8"/>
  <c r="G246" i="8"/>
  <c r="A247" i="8"/>
  <c r="F247" i="8"/>
  <c r="G247" i="8"/>
  <c r="A248" i="8"/>
  <c r="F248" i="8"/>
  <c r="G248" i="8"/>
  <c r="A249" i="8"/>
  <c r="F249" i="8"/>
  <c r="G249" i="8"/>
  <c r="A250" i="8"/>
  <c r="F250" i="8"/>
  <c r="G250" i="8"/>
  <c r="A251" i="8"/>
  <c r="F251" i="8"/>
  <c r="G251" i="8"/>
  <c r="A252" i="8"/>
  <c r="F252" i="8"/>
  <c r="G252" i="8"/>
  <c r="A253" i="8"/>
  <c r="F253" i="8"/>
  <c r="G253" i="8"/>
  <c r="A254" i="8"/>
  <c r="F254" i="8"/>
  <c r="G254" i="8"/>
  <c r="A255" i="8"/>
  <c r="F255" i="8"/>
  <c r="G255" i="8"/>
  <c r="A256" i="8"/>
  <c r="F256" i="8"/>
  <c r="G256" i="8"/>
  <c r="A257" i="8"/>
  <c r="F257" i="8"/>
  <c r="G257" i="8"/>
  <c r="A258" i="8"/>
  <c r="F258" i="8"/>
  <c r="G258" i="8"/>
  <c r="A259" i="8"/>
  <c r="F259" i="8"/>
  <c r="G259" i="8"/>
  <c r="F10" i="8"/>
  <c r="G10" i="8" s="1"/>
  <c r="A10" i="8"/>
  <c r="F5" i="8"/>
  <c r="D5" i="8"/>
  <c r="C5" i="8"/>
  <c r="B5" i="8"/>
  <c r="A5" i="8"/>
  <c r="H7" i="7"/>
  <c r="F7" i="7"/>
  <c r="D7" i="7"/>
  <c r="G5" i="9" l="1"/>
  <c r="G5" i="8"/>
</calcChain>
</file>

<file path=xl/sharedStrings.xml><?xml version="1.0" encoding="utf-8"?>
<sst xmlns="http://schemas.openxmlformats.org/spreadsheetml/2006/main" count="155" uniqueCount="115">
  <si>
    <t>시간</t>
  </si>
  <si>
    <t>예식장으로 이동</t>
  </si>
  <si>
    <t>식사 및 하객 마무리 인사</t>
  </si>
  <si>
    <t>신랑신부</t>
  </si>
  <si>
    <t>친가 (신랑 측)</t>
  </si>
  <si>
    <t>외가 (신부 측)</t>
  </si>
  <si>
    <t>하객 접대 / 축의금 접수</t>
  </si>
  <si>
    <t>입장 대기 (화촉점화 준비)</t>
  </si>
  <si>
    <t>식사 / 휴식</t>
  </si>
  <si>
    <t>연출 촬영 마무리</t>
  </si>
  <si>
    <t>식사</t>
  </si>
  <si>
    <t>하객 배웅 / 마무리 인사</t>
  </si>
  <si>
    <t>축의금 정산</t>
  </si>
  <si>
    <t>짐 정리 / 휴식</t>
  </si>
  <si>
    <t>💒  결혼식 당일 일정표  💒</t>
  </si>
  <si>
    <t>식장 입장 · 자리 안내</t>
  </si>
  <si>
    <t>연출 촬영 (단독 · 커플)</t>
  </si>
  <si>
    <t>가족 · 지인과 식사</t>
  </si>
  <si>
    <t>12:30
~
13:30</t>
  </si>
  <si>
    <t>본식 12:30  ·  스튜디오 촬영 18:00</t>
  </si>
  <si>
    <t>옷 환복 / 휴식</t>
  </si>
  <si>
    <t>자유 시간</t>
  </si>
  <si>
    <t>기상 / 샤워</t>
  </si>
  <si>
    <t>📸 스튜디오 촬영 진행</t>
  </si>
  <si>
    <t>자유 시간 / 저녁 식사</t>
  </si>
  <si>
    <t>휴식</t>
  </si>
  <si>
    <t>🍽️ 저녁 식사</t>
  </si>
  <si>
    <t>저녁 식사 / 휴식</t>
  </si>
  <si>
    <t>집/숙소 이동</t>
  </si>
  <si>
    <t>🌙 집/숙소 도착 / 마무리</t>
  </si>
  <si>
    <t>메이크업샵 (한올) 이동</t>
  </si>
  <si>
    <t>여유롭게 준비</t>
  </si>
  <si>
    <t>기상 / 준비 시작</t>
  </si>
  <si>
    <t>가볍게 식사</t>
  </si>
  <si>
    <t>예식장으로 이동 (한복 지참)</t>
  </si>
  <si>
    <t>예식장 도착 / 👘 한복 착용</t>
  </si>
  <si>
    <t>컨디션 정리 / 소지품 체크</t>
  </si>
  <si>
    <t>메이크업샵 이동 준비</t>
  </si>
  <si>
    <t>스냅 마무리 / 식순 점검 / 입장 준비</t>
  </si>
  <si>
    <t>신부대기실 / 가족</t>
    <phoneticPr fontId="1" type="noConversion"/>
  </si>
  <si>
    <t>축 의 대  안 내 문</t>
  </si>
  <si>
    <t>★ 예식 1시간 전 11:30까지 축의대 착석 부탁드립니다  (예식 12:30 ~ 13:30) ★</t>
  </si>
  <si>
    <t>◎  답례품  :  없음</t>
  </si>
  <si>
    <t>A</t>
  </si>
  <si>
    <t>1.  인사 · 봉투받기</t>
  </si>
  <si>
    <t xml:space="preserve">    (이름 확인, 축의금 동봉 여부 확인)</t>
  </si>
  <si>
    <t>2.  하객 방명록 작성 요청</t>
  </si>
  <si>
    <t>3.  식권 주기 (몇 장 필요한지 확인)</t>
  </si>
  <si>
    <t>4.  봉투에 번호 / 식권수량 기입</t>
  </si>
  <si>
    <t>B</t>
  </si>
  <si>
    <t>1.  A에게 봉투 받아 금액 확인</t>
  </si>
  <si>
    <t>2.  봉투에 금액 쓰기</t>
  </si>
  <si>
    <t xml:space="preserve">    (하객분들 안보이게 하여 확인 및 기재 부탁드립니다)</t>
  </si>
  <si>
    <t>3.  축의금 장부 작성</t>
  </si>
  <si>
    <t xml:space="preserve">    번호, 이름, 금액</t>
  </si>
  <si>
    <t>4.  봉투 20개씩 고무줄로 묶어 가방에 정리</t>
  </si>
  <si>
    <t>↓  봉투 B에게 넘기기</t>
  </si>
  <si>
    <t>축의금 봉투 20개씩 고무줄로 묶어 가방에 정리</t>
  </si>
  <si>
    <t>주의사항    정산은 신랑, 신부, 혼주가 직접 하므로 축의금 가방과 식권은 신랑, 신부 직계가족 이외에 절대 넘겨주지 마세요</t>
  </si>
  <si>
    <t>◎  이러한 경우가 발생될 수 있으니 주의해주세요</t>
  </si>
  <si>
    <t>상황</t>
  </si>
  <si>
    <t>대처 방법</t>
  </si>
  <si>
    <t>금액 잘못 되었다고 돌려 달라고 요청 하는 경우</t>
  </si>
  <si>
    <t>성함 물어 본 후, 신부에게 따로 전달하겠다고 안내
"축의대에서 처리 불가하여 예식 후, 신부/신랑 측에서 확인하겠습니다"</t>
  </si>
  <si>
    <t>식권 여러장 달라고 하는 경우 (지나치게 많이 요청)</t>
  </si>
  <si>
    <t>조심하고 따로 이름을 적어 둘 것</t>
  </si>
  <si>
    <t>계좌이체하여 직접 축의금 전달했다고 하는 경우</t>
  </si>
  <si>
    <t>중간 정산을 위해 축의금 달라고 요청</t>
  </si>
  <si>
    <t>가족 또는 직원이 요청 안함. 중간 정산 절대 없으므로
"예식 후 신부/신랑 측에서 직접 정산합니다"</t>
  </si>
  <si>
    <t>빈 봉투만 내고 식권 받아가는 경우</t>
  </si>
  <si>
    <t>"빈 봉투를 주셨습니다. 확인 부탁드립니다."</t>
  </si>
  <si>
    <t>◎  식권 수량  :  신랑 200장, 어린이      장  /  신부 200장, 어린이      장</t>
  </si>
  <si>
    <t>◎  주차안내  :  무제한 무료</t>
  </si>
  <si>
    <t>◎  연회장  :  소인(5~9세)   /   시간 : 13:00 ~ 16:00   /   위치 : 지하 1층</t>
  </si>
  <si>
    <t>* 축의대 2명, 혼주 &amp; 가족 식권 (신랑 측 3명, 신부 측 4명) 미리 챙겨주세요!</t>
    <phoneticPr fontId="1" type="noConversion"/>
  </si>
  <si>
    <t>식권에 기재된 No. 순서대로 배부</t>
    <phoneticPr fontId="1" type="noConversion"/>
  </si>
  <si>
    <t>식권 부족시, 예약실에서 추가 발급받아 도장 찍어 배부</t>
    <phoneticPr fontId="1" type="noConversion"/>
  </si>
  <si>
    <t>보증인원        명 / 보증인원에 소인 미포함 (5~9세)</t>
    <phoneticPr fontId="1" type="noConversion"/>
  </si>
  <si>
    <t>◎  ATM 위치  :  회전문 왼쪽</t>
  </si>
  <si>
    <t xml:space="preserve">    "연회장은 지하1층 입니다"</t>
    <phoneticPr fontId="1" type="noConversion"/>
  </si>
  <si>
    <t>구분</t>
  </si>
  <si>
    <t>인원</t>
  </si>
  <si>
    <t>식권 사용</t>
  </si>
  <si>
    <t>건수</t>
  </si>
  <si>
    <t>신랑 측</t>
  </si>
  <si>
    <t>신부 측</t>
  </si>
  <si>
    <t>전체 합계</t>
  </si>
  <si>
    <t>No.</t>
  </si>
  <si>
    <t>이름</t>
  </si>
  <si>
    <t>식권수</t>
  </si>
  <si>
    <t>비고</t>
  </si>
  <si>
    <t>식권비용</t>
  </si>
  <si>
    <t>순 축의금</t>
  </si>
  <si>
    <t>축의금 합계</t>
  </si>
  <si>
    <t>순 축의금 (차액)</t>
  </si>
  <si>
    <t>순축의금</t>
  </si>
  <si>
    <t>💰  축 의 금  정 산</t>
  </si>
  <si>
    <t>식권</t>
  </si>
  <si>
    <t xml:space="preserve">  ※ 식권 단가: ₩65,000  /  순 축의금 = 축의금 합계 − (식권 장수 × 65,000)</t>
  </si>
  <si>
    <t xml:space="preserve">  ▶ 입력은 [신랑측 축의금] / [신부측 축의금] 시트에서. 이 시트는 자동 집계됩니다.</t>
  </si>
  <si>
    <t>💌  신랑 측  축의금  명단</t>
  </si>
  <si>
    <t>💌  신부 측  축의금  명단</t>
  </si>
  <si>
    <t>김00</t>
  </si>
  <si>
    <t>김00</t>
    <phoneticPr fontId="1" type="noConversion"/>
  </si>
  <si>
    <t xml:space="preserve">  ※ 식권 단가 ₩65,000  /  E열에 축의금 금액을 그대로 입력하세요 (예: 100000)</t>
  </si>
  <si>
    <t>축의금</t>
  </si>
  <si>
    <r>
      <rPr>
        <sz val="11"/>
        <color rgb="FF7B3F3F"/>
        <rFont val="Segoe UI Emoji"/>
        <family val="2"/>
      </rPr>
      <t>📸</t>
    </r>
    <r>
      <rPr>
        <sz val="11"/>
        <color rgb="FF7B3F3F"/>
        <rFont val="맑은 고딕"/>
        <family val="3"/>
        <charset val="129"/>
        <scheme val="minor"/>
      </rPr>
      <t xml:space="preserve"> 웨딩 스냅 촬영 / 하객 맞이</t>
    </r>
    <phoneticPr fontId="1" type="noConversion"/>
  </si>
  <si>
    <t>신랑신부 메이크업 시작 (06:30)</t>
    <phoneticPr fontId="1" type="noConversion"/>
  </si>
  <si>
    <t>메이크업샵 (소미) 8:15분 준비</t>
    <phoneticPr fontId="1" type="noConversion"/>
  </si>
  <si>
    <t>한올 메이크업 시작 (07:30)</t>
    <phoneticPr fontId="1" type="noConversion"/>
  </si>
  <si>
    <t>예식장으로 이동</t>
    <phoneticPr fontId="1" type="noConversion"/>
  </si>
  <si>
    <t>하객 맞이</t>
    <phoneticPr fontId="1" type="noConversion"/>
  </si>
  <si>
    <t>한복, 양복 반납</t>
    <phoneticPr fontId="1" type="noConversion"/>
  </si>
  <si>
    <r>
      <rPr>
        <sz val="11"/>
        <color rgb="FF7B3F3F"/>
        <rFont val="Segoe UI Emoji"/>
        <family val="2"/>
      </rPr>
      <t>🏛️</t>
    </r>
    <r>
      <rPr>
        <sz val="11"/>
        <color rgb="FF7B3F3F"/>
        <rFont val="맑은 고딕"/>
        <family val="3"/>
        <charset val="129"/>
        <scheme val="minor"/>
      </rPr>
      <t xml:space="preserve"> 예식장 도착 (10:30) /
</t>
    </r>
    <r>
      <rPr>
        <sz val="11"/>
        <color rgb="FF7B3F3F"/>
        <rFont val="Segoe UI Symbol"/>
        <family val="3"/>
      </rPr>
      <t>📸</t>
    </r>
    <r>
      <rPr>
        <sz val="11"/>
        <color rgb="FF7B3F3F"/>
        <rFont val="Calibri"/>
        <family val="3"/>
        <charset val="1"/>
      </rPr>
      <t xml:space="preserve"> </t>
    </r>
    <r>
      <rPr>
        <sz val="11"/>
        <color rgb="FF7B3F3F"/>
        <rFont val="맑은 고딕"/>
        <family val="3"/>
        <charset val="129"/>
        <scheme val="minor"/>
      </rPr>
      <t>웨딩</t>
    </r>
    <r>
      <rPr>
        <sz val="11"/>
        <color rgb="FF7B3F3F"/>
        <rFont val="Calibri"/>
        <family val="3"/>
      </rPr>
      <t xml:space="preserve"> </t>
    </r>
    <r>
      <rPr>
        <sz val="11"/>
        <color rgb="FF7B3F3F"/>
        <rFont val="맑은 고딕"/>
        <family val="3"/>
        <charset val="129"/>
        <scheme val="minor"/>
      </rPr>
      <t>스냅</t>
    </r>
    <r>
      <rPr>
        <sz val="11"/>
        <color rgb="FF7B3F3F"/>
        <rFont val="Calibri"/>
        <family val="3"/>
      </rPr>
      <t xml:space="preserve"> </t>
    </r>
    <r>
      <rPr>
        <sz val="11"/>
        <color rgb="FF7B3F3F"/>
        <rFont val="맑은 고딕"/>
        <family val="3"/>
        <charset val="129"/>
        <scheme val="minor"/>
      </rPr>
      <t>촬영</t>
    </r>
    <r>
      <rPr>
        <sz val="11"/>
        <color rgb="FF7B3F3F"/>
        <rFont val="Calibri"/>
        <family val="3"/>
      </rPr>
      <t xml:space="preserve"> </t>
    </r>
    <r>
      <rPr>
        <sz val="11"/>
        <color rgb="FF7B3F3F"/>
        <rFont val="맑은 고딕"/>
        <family val="3"/>
        <charset val="129"/>
        <scheme val="minor"/>
      </rPr>
      <t>시작</t>
    </r>
    <r>
      <rPr>
        <sz val="11"/>
        <color rgb="FF7B3F3F"/>
        <rFont val="Calibri"/>
        <family val="3"/>
      </rPr>
      <t xml:space="preserve"> - </t>
    </r>
    <r>
      <rPr>
        <sz val="11"/>
        <color rgb="FF7B3F3F"/>
        <rFont val="맑은 고딕"/>
        <family val="3"/>
        <charset val="129"/>
        <scheme val="minor"/>
      </rPr>
      <t>차량씬 촬영</t>
    </r>
    <r>
      <rPr>
        <sz val="11"/>
        <color rgb="FF7B3F3F"/>
        <rFont val="맑은 고딕"/>
        <family val="2"/>
        <charset val="129"/>
        <scheme val="minor"/>
      </rPr>
      <t>(오필리아</t>
    </r>
    <r>
      <rPr>
        <sz val="11"/>
        <color rgb="FF7B3F3F"/>
        <rFont val="Calibri"/>
        <family val="2"/>
      </rPr>
      <t xml:space="preserve"> </t>
    </r>
    <r>
      <rPr>
        <sz val="11"/>
        <color rgb="FF7B3F3F"/>
        <rFont val="맑은 고딕"/>
        <family val="2"/>
        <charset val="129"/>
        <scheme val="minor"/>
      </rPr>
      <t>픽처)</t>
    </r>
    <phoneticPr fontId="1" type="noConversion"/>
  </si>
  <si>
    <r>
      <rPr>
        <sz val="14"/>
        <color rgb="FF7B3F3F"/>
        <rFont val="Segoe UI Emoji"/>
        <family val="2"/>
      </rPr>
      <t>✨</t>
    </r>
    <r>
      <rPr>
        <sz val="14"/>
        <color rgb="FF7B3F3F"/>
        <rFont val="맑은 고딕"/>
        <family val="3"/>
        <charset val="129"/>
        <scheme val="minor"/>
      </rPr>
      <t xml:space="preserve"> 본식 진행 (12:30 ~ 13:30) </t>
    </r>
    <r>
      <rPr>
        <sz val="14"/>
        <color rgb="FF7B3F3F"/>
        <rFont val="Segoe UI Emoji"/>
        <family val="2"/>
      </rPr>
      <t xml:space="preserve">✨
</t>
    </r>
    <r>
      <rPr>
        <sz val="14"/>
        <color rgb="FF7B3F3F"/>
        <rFont val="맑은 고딕"/>
        <family val="3"/>
        <charset val="129"/>
        <scheme val="minor"/>
      </rPr>
      <t xml:space="preserve">1. 개식사 -&gt; 식장 준비곡
2. 신랑 부모님 입장   </t>
    </r>
    <r>
      <rPr>
        <sz val="14"/>
        <color rgb="FF7B3F3F"/>
        <rFont val="Segoe UI Emoji"/>
        <family val="2"/>
      </rPr>
      <t>🎵</t>
    </r>
    <r>
      <rPr>
        <sz val="14"/>
        <color rgb="FF7B3F3F"/>
        <rFont val="맑은 고딕"/>
        <family val="3"/>
        <charset val="129"/>
        <scheme val="minor"/>
      </rPr>
      <t xml:space="preserve"> 이웃집 토토로 - 산책
3. 신부 부모님 입장   </t>
    </r>
    <r>
      <rPr>
        <sz val="14"/>
        <color rgb="FF7B3F3F"/>
        <rFont val="Segoe UI Emoji"/>
        <family val="2"/>
      </rPr>
      <t>🎵</t>
    </r>
    <r>
      <rPr>
        <sz val="14"/>
        <color rgb="FF7B3F3F"/>
        <rFont val="맑은 고딕"/>
        <family val="3"/>
        <charset val="129"/>
        <scheme val="minor"/>
      </rPr>
      <t xml:space="preserve"> 구르미 그린 달빛 - 영의 왈츠
4. 화촉점화 및 양가 부모님 맞절 + 내빈 인사   </t>
    </r>
    <r>
      <rPr>
        <sz val="14"/>
        <color rgb="FF7B3F3F"/>
        <rFont val="Segoe UI Emoji"/>
        <family val="2"/>
      </rPr>
      <t>🎵</t>
    </r>
    <r>
      <rPr>
        <sz val="14"/>
        <color rgb="FF7B3F3F"/>
        <rFont val="맑은 고딕"/>
        <family val="3"/>
        <charset val="129"/>
        <scheme val="minor"/>
      </rPr>
      <t xml:space="preserve"> 성균관 스캔들 OST - 생도청의 아침
5. 신랑 단독 입장   </t>
    </r>
    <r>
      <rPr>
        <sz val="14"/>
        <color rgb="FF7B3F3F"/>
        <rFont val="Segoe UI Emoji"/>
        <family val="2"/>
      </rPr>
      <t>🎵</t>
    </r>
    <r>
      <rPr>
        <sz val="14"/>
        <color rgb="FF7B3F3F"/>
        <rFont val="맑은 고딕"/>
        <family val="3"/>
        <charset val="129"/>
        <scheme val="minor"/>
      </rPr>
      <t xml:space="preserve"> Stellar - Ashes
6. 신부 단독 입장   </t>
    </r>
    <r>
      <rPr>
        <sz val="14"/>
        <color rgb="FF7B3F3F"/>
        <rFont val="Segoe UI Emoji"/>
        <family val="2"/>
      </rPr>
      <t>🎵</t>
    </r>
    <r>
      <rPr>
        <sz val="14"/>
        <color rgb="FF7B3F3F"/>
        <rFont val="맑은 고딕"/>
        <family val="3"/>
        <charset val="129"/>
        <scheme val="minor"/>
      </rPr>
      <t xml:space="preserve"> A Thousand Years 
7. 신랑신부 맞절 </t>
    </r>
    <r>
      <rPr>
        <sz val="14"/>
        <color rgb="FF7B3F3F"/>
        <rFont val="Segoe UI Emoji"/>
        <family val="2"/>
      </rPr>
      <t>🎵</t>
    </r>
    <r>
      <rPr>
        <sz val="14"/>
        <color rgb="FF7B3F3F"/>
        <rFont val="맑은 고딕"/>
        <family val="3"/>
        <charset val="129"/>
        <scheme val="major"/>
      </rPr>
      <t xml:space="preserve"> Whispers of a Princess</t>
    </r>
    <r>
      <rPr>
        <sz val="14"/>
        <color rgb="FF7B3F3F"/>
        <rFont val="맑은 고딕"/>
        <family val="3"/>
        <charset val="129"/>
        <scheme val="minor"/>
      </rPr>
      <t xml:space="preserve">
8. 혼인서약 (하객을 바라보며)</t>
    </r>
    <r>
      <rPr>
        <sz val="14"/>
        <color rgb="FF7B3F3F"/>
        <rFont val="Calibri"/>
        <family val="3"/>
      </rPr>
      <t>-2</t>
    </r>
    <r>
      <rPr>
        <sz val="14"/>
        <color rgb="FF7B3F3F"/>
        <rFont val="맑은 고딕"/>
        <family val="3"/>
        <charset val="129"/>
        <scheme val="minor"/>
      </rPr>
      <t xml:space="preserve">분 </t>
    </r>
    <r>
      <rPr>
        <sz val="14"/>
        <color rgb="FF7B3F3F"/>
        <rFont val="Segoe UI Emoji"/>
        <family val="2"/>
      </rPr>
      <t>🎵</t>
    </r>
    <r>
      <rPr>
        <sz val="14"/>
        <color rgb="FF7B3F3F"/>
        <rFont val="맑은 고딕"/>
        <family val="3"/>
        <charset val="129"/>
        <scheme val="major"/>
      </rPr>
      <t>bgm</t>
    </r>
    <r>
      <rPr>
        <sz val="14"/>
        <color rgb="FF7B3F3F"/>
        <rFont val="맑은 고딕"/>
        <family val="3"/>
        <charset val="129"/>
        <scheme val="minor"/>
      </rPr>
      <t xml:space="preserve">
9. 예물 교환 (플래너 전달) </t>
    </r>
    <r>
      <rPr>
        <sz val="14"/>
        <color rgb="FF7B3F3F"/>
        <rFont val="Segoe UI Emoji"/>
        <family val="2"/>
      </rPr>
      <t>🎵</t>
    </r>
    <r>
      <rPr>
        <sz val="14"/>
        <color rgb="FF7B3F3F"/>
        <rFont val="맑은 고딕"/>
        <family val="3"/>
        <charset val="129"/>
        <scheme val="major"/>
      </rPr>
      <t xml:space="preserve">Can You Feel the Love Tonight - The Lion King (ver.Piano)
</t>
    </r>
    <r>
      <rPr>
        <sz val="14"/>
        <color rgb="FF7B3F3F"/>
        <rFont val="맑은 고딕"/>
        <family val="3"/>
        <charset val="129"/>
        <scheme val="minor"/>
      </rPr>
      <t xml:space="preserve">10. 성혼선언 (사회자)-1분 </t>
    </r>
    <r>
      <rPr>
        <sz val="14"/>
        <color rgb="FF7B3F3F"/>
        <rFont val="Segoe UI Emoji"/>
        <family val="2"/>
      </rPr>
      <t>🎵</t>
    </r>
    <r>
      <rPr>
        <sz val="14"/>
        <color rgb="FF7B3F3F"/>
        <rFont val="맑은 고딕"/>
        <family val="3"/>
        <charset val="129"/>
        <scheme val="major"/>
      </rPr>
      <t>봄, 햇살이 춤추듯(프롬패리스)</t>
    </r>
    <r>
      <rPr>
        <sz val="14"/>
        <color rgb="FF7B3F3F"/>
        <rFont val="맑은 고딕"/>
        <family val="3"/>
        <charset val="129"/>
        <scheme val="minor"/>
      </rPr>
      <t xml:space="preserve">
11. 신부 친구 축사 - 임유나 </t>
    </r>
    <r>
      <rPr>
        <sz val="14"/>
        <color rgb="FF7B3F3F"/>
        <rFont val="Segoe UI Emoji"/>
        <family val="2"/>
      </rPr>
      <t>🎵</t>
    </r>
    <r>
      <rPr>
        <sz val="14"/>
        <color rgb="FF7B3F3F"/>
        <rFont val="맑은 고딕"/>
        <family val="3"/>
        <charset val="129"/>
        <scheme val="minor"/>
      </rPr>
      <t xml:space="preserve"> Do You Remember The First Time We Met(음악 잔잔하게)
12. 축가</t>
    </r>
    <r>
      <rPr>
        <sz val="14"/>
        <color rgb="FF7B3F3F"/>
        <rFont val="Segoe UI Emoji"/>
        <family val="2"/>
      </rPr>
      <t>🎵</t>
    </r>
    <r>
      <rPr>
        <sz val="14"/>
        <color rgb="FF7B3F3F"/>
        <rFont val="맑은 고딕"/>
        <family val="3"/>
        <charset val="129"/>
        <scheme val="major"/>
      </rPr>
      <t>스탠딩에그 - 사랑한대</t>
    </r>
    <r>
      <rPr>
        <sz val="14"/>
        <color rgb="FF7B3F3F"/>
        <rFont val="맑은 고딕"/>
        <family val="3"/>
        <charset val="129"/>
        <scheme val="minor"/>
      </rPr>
      <t xml:space="preserve">
13. 부모님 및 내빈 인사 </t>
    </r>
    <r>
      <rPr>
        <sz val="14"/>
        <color rgb="FF7B3F3F"/>
        <rFont val="Segoe UI Emoji"/>
        <family val="2"/>
      </rPr>
      <t>🎵</t>
    </r>
    <r>
      <rPr>
        <sz val="14"/>
        <color rgb="FF7B3F3F"/>
        <rFont val="맑은 고딕"/>
        <family val="3"/>
        <charset val="129"/>
        <scheme val="major"/>
      </rPr>
      <t>The About Time Theme</t>
    </r>
    <r>
      <rPr>
        <sz val="14"/>
        <color rgb="FF7B3F3F"/>
        <rFont val="맑은 고딕"/>
        <family val="3"/>
        <charset val="129"/>
        <scheme val="minor"/>
      </rPr>
      <t xml:space="preserve">
14. 행진 </t>
    </r>
    <r>
      <rPr>
        <sz val="14"/>
        <color rgb="FF7B3F3F"/>
        <rFont val="Segoe UI Emoji"/>
        <family val="2"/>
      </rPr>
      <t>🎵</t>
    </r>
    <r>
      <rPr>
        <sz val="14"/>
        <color rgb="FF7B3F3F"/>
        <rFont val="맑은 고딕"/>
        <family val="3"/>
        <charset val="129"/>
        <scheme val="minor"/>
      </rPr>
      <t>멸종위기사랑
15. 원판 촬영(부케-김새롬)
16. 연출 촬영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</si>
</sst>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&quot;명&quot;"/>
    <numFmt numFmtId="177" formatCode="#,##0&quot;장&quot;"/>
    <numFmt numFmtId="178" formatCode="&quot;₩ &quot;#,##0"/>
    <numFmt numFmtId="179" formatCode="#,##0&quot;건&quot;"/>
    <numFmt numFmtId="180" formatCode="&quot;₩ &quot;#,##0;[Red]&quot;₩ &quot;\(#,##0\)"/>
  </numFmts>
  <fonts count="4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20"/>
      <color rgb="FF7B3F3F"/>
      <name val="맑은 고딕"/>
      <family val="3"/>
      <charset val="129"/>
      <scheme val="minor"/>
    </font>
    <font>
      <i/>
      <sz val="11"/>
      <color rgb="FFA47148"/>
      <name val="맑은 고딕"/>
      <family val="3"/>
      <charset val="129"/>
      <scheme val="minor"/>
    </font>
    <font>
      <b/>
      <sz val="11"/>
      <color rgb="FFFFFFFF"/>
      <name val="맑은 고딕"/>
      <family val="3"/>
      <charset val="129"/>
      <scheme val="minor"/>
    </font>
    <font>
      <b/>
      <sz val="12"/>
      <color rgb="FFFFFFFF"/>
      <name val="맑은 고딕"/>
      <family val="3"/>
      <charset val="129"/>
      <scheme val="minor"/>
    </font>
    <font>
      <b/>
      <sz val="11"/>
      <color rgb="FF7B3F3F"/>
      <name val="맑은 고딕"/>
      <family val="3"/>
      <charset val="129"/>
      <scheme val="minor"/>
    </font>
    <font>
      <sz val="11"/>
      <color rgb="FF7B3F3F"/>
      <name val="맑은 고딕"/>
      <family val="3"/>
      <charset val="129"/>
      <scheme val="minor"/>
    </font>
    <font>
      <b/>
      <sz val="12"/>
      <color rgb="FF7B3F3F"/>
      <name val="맑은 고딕"/>
      <family val="3"/>
      <charset val="129"/>
      <scheme val="minor"/>
    </font>
    <font>
      <sz val="11"/>
      <color rgb="FF7B3F3F"/>
      <name val="Segoe UI Emoji"/>
      <family val="2"/>
    </font>
    <font>
      <sz val="11"/>
      <color rgb="FF7B3F3F"/>
      <name val="Calibri"/>
      <family val="3"/>
    </font>
    <font>
      <sz val="11"/>
      <color rgb="FF7B3F3F"/>
      <name val="맑은 고딕"/>
      <family val="2"/>
      <charset val="129"/>
      <scheme val="minor"/>
    </font>
    <font>
      <sz val="11"/>
      <color rgb="FF7B3F3F"/>
      <name val="Segoe UI Symbol"/>
      <family val="3"/>
    </font>
    <font>
      <sz val="11"/>
      <color rgb="FF7B3F3F"/>
      <name val="Calibri"/>
      <family val="3"/>
      <charset val="1"/>
    </font>
    <font>
      <sz val="14"/>
      <color rgb="FF7B3F3F"/>
      <name val="맑은 고딕"/>
      <family val="2"/>
      <charset val="129"/>
      <scheme val="minor"/>
    </font>
    <font>
      <sz val="14"/>
      <color rgb="FF7B3F3F"/>
      <name val="Segoe UI Emoji"/>
      <family val="2"/>
    </font>
    <font>
      <sz val="14"/>
      <color rgb="FF7B3F3F"/>
      <name val="맑은 고딕"/>
      <family val="3"/>
      <charset val="129"/>
      <scheme val="minor"/>
    </font>
    <font>
      <b/>
      <sz val="28"/>
      <color rgb="FF000000"/>
      <name val="맑은 고딕"/>
      <family val="3"/>
      <charset val="129"/>
      <scheme val="minor"/>
    </font>
    <font>
      <b/>
      <sz val="13"/>
      <color rgb="FF0000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C00000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0"/>
      <color rgb="FF595959"/>
      <name val="맑은 고딕"/>
      <family val="3"/>
      <charset val="129"/>
      <scheme val="minor"/>
    </font>
    <font>
      <b/>
      <sz val="11"/>
      <color rgb="FFC0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22"/>
      <color rgb="FF1F4E79"/>
      <name val="맑은 고딕"/>
      <family val="3"/>
      <charset val="129"/>
      <scheme val="minor"/>
    </font>
    <font>
      <b/>
      <sz val="13"/>
      <color rgb="FFC00000"/>
      <name val="맑은 고딕"/>
      <family val="3"/>
      <charset val="129"/>
      <scheme val="minor"/>
    </font>
    <font>
      <b/>
      <sz val="13"/>
      <color rgb="FFFFFFFF"/>
      <name val="맑은 고딕"/>
      <family val="3"/>
      <charset val="129"/>
      <scheme val="minor"/>
    </font>
    <font>
      <b/>
      <sz val="14"/>
      <color rgb="FFC00000"/>
      <name val="맑은 고딕"/>
      <family val="3"/>
      <charset val="129"/>
      <scheme val="minor"/>
    </font>
    <font>
      <b/>
      <sz val="12"/>
      <color rgb="FF7B7B7B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1"/>
      <color rgb="FF7B7B7B"/>
      <name val="맑은 고딕"/>
      <family val="3"/>
      <charset val="129"/>
      <scheme val="minor"/>
    </font>
    <font>
      <sz val="10"/>
      <color rgb="FF7B7B7B"/>
      <name val="맑은 고딕"/>
      <family val="3"/>
      <charset val="129"/>
      <scheme val="minor"/>
    </font>
    <font>
      <b/>
      <sz val="11"/>
      <color rgb="FF1F4E79"/>
      <name val="맑은 고딕"/>
      <family val="3"/>
      <charset val="129"/>
      <scheme val="minor"/>
    </font>
    <font>
      <b/>
      <sz val="22"/>
      <color rgb="FFFFFFFF"/>
      <name val="맑은 고딕"/>
      <family val="3"/>
      <charset val="129"/>
      <scheme val="minor"/>
    </font>
    <font>
      <sz val="12"/>
      <color rgb="FF7B7B7B"/>
      <name val="맑은 고딕"/>
      <family val="3"/>
      <charset val="129"/>
      <scheme val="minor"/>
    </font>
    <font>
      <sz val="14"/>
      <color rgb="FF7B3F3F"/>
      <name val="맑은 고딕"/>
      <family val="3"/>
      <charset val="129"/>
      <scheme val="major"/>
    </font>
    <font>
      <sz val="11"/>
      <color rgb="FF7B3F3F"/>
      <name val="Calibri"/>
      <family val="2"/>
    </font>
    <font>
      <sz val="14"/>
      <color rgb="FF7B3F3F"/>
      <name val="Calibri"/>
      <family val="3"/>
    </font>
  </fonts>
  <fills count="28">
    <fill>
      <patternFill patternType="none"/>
    </fill>
    <fill>
      <patternFill patternType="gray125"/>
    </fill>
    <fill>
      <patternFill patternType="solid">
        <fgColor rgb="FFFFE699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1E6"/>
        <bgColor indexed="64"/>
      </patternFill>
    </fill>
    <fill>
      <patternFill patternType="solid">
        <fgColor rgb="FFFFF8F0"/>
        <bgColor indexed="64"/>
      </patternFill>
    </fill>
    <fill>
      <patternFill patternType="solid">
        <fgColor rgb="FFC9A66B"/>
        <bgColor indexed="64"/>
      </patternFill>
    </fill>
    <fill>
      <patternFill patternType="solid">
        <fgColor rgb="FFE8A4A4"/>
        <bgColor indexed="64"/>
      </patternFill>
    </fill>
    <fill>
      <patternFill patternType="solid">
        <fgColor rgb="FF8FAFD4"/>
        <bgColor indexed="64"/>
      </patternFill>
    </fill>
    <fill>
      <patternFill patternType="solid">
        <fgColor rgb="FFA8C99A"/>
        <bgColor indexed="64"/>
      </patternFill>
    </fill>
    <fill>
      <patternFill patternType="solid">
        <fgColor rgb="FFFBF3E4"/>
        <bgColor indexed="64"/>
      </patternFill>
    </fill>
    <fill>
      <patternFill patternType="solid">
        <fgColor rgb="FFFCE4EC"/>
        <bgColor indexed="64"/>
      </patternFill>
    </fill>
    <fill>
      <patternFill patternType="solid">
        <fgColor rgb="FFF8BBD0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DE7F6"/>
        <bgColor indexed="64"/>
      </patternFill>
    </fill>
    <fill>
      <patternFill patternType="solid">
        <fgColor rgb="FFB39DDB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A47148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rgb="FFE7F0FA"/>
        <bgColor indexed="64"/>
      </patternFill>
    </fill>
    <fill>
      <patternFill patternType="solid">
        <fgColor rgb="FFFFF8E1"/>
        <bgColor indexed="64"/>
      </patternFill>
    </fill>
    <fill>
      <patternFill patternType="solid">
        <fgColor rgb="FFC00000"/>
        <bgColor indexed="64"/>
      </patternFill>
    </fill>
  </fills>
  <borders count="65">
    <border>
      <left/>
      <right/>
      <top/>
      <bottom/>
      <diagonal/>
    </border>
    <border>
      <left/>
      <right/>
      <top style="thin">
        <color rgb="FFE8D5B7"/>
      </top>
      <bottom/>
      <diagonal/>
    </border>
    <border>
      <left/>
      <right/>
      <top/>
      <bottom style="thin">
        <color rgb="FFE8D5B7"/>
      </bottom>
      <diagonal/>
    </border>
    <border>
      <left style="thin">
        <color rgb="FFE8D5B7"/>
      </left>
      <right/>
      <top style="thin">
        <color rgb="FFE8D5B7"/>
      </top>
      <bottom/>
      <diagonal/>
    </border>
    <border>
      <left style="thin">
        <color rgb="FFE8D5B7"/>
      </left>
      <right/>
      <top/>
      <bottom/>
      <diagonal/>
    </border>
    <border>
      <left style="thin">
        <color rgb="FFE8D5B7"/>
      </left>
      <right/>
      <top/>
      <bottom style="thin">
        <color rgb="FFE8D5B7"/>
      </bottom>
      <diagonal/>
    </border>
    <border>
      <left style="thin">
        <color rgb="FFE8D5B7"/>
      </left>
      <right style="thin">
        <color rgb="FFE8D5B7"/>
      </right>
      <top style="thin">
        <color rgb="FFE8D5B7"/>
      </top>
      <bottom style="thin">
        <color rgb="FFE8D5B7"/>
      </bottom>
      <diagonal/>
    </border>
    <border>
      <left style="thin">
        <color rgb="FFE8D5B7"/>
      </left>
      <right style="thin">
        <color rgb="FFE8D5B7"/>
      </right>
      <top/>
      <bottom style="thin">
        <color rgb="FFE8D5B7"/>
      </bottom>
      <diagonal/>
    </border>
    <border>
      <left style="thin">
        <color rgb="FFE8D5B7"/>
      </left>
      <right style="thin">
        <color rgb="FFE8D5B7"/>
      </right>
      <top style="thin">
        <color rgb="FFE8D5B7"/>
      </top>
      <bottom/>
      <diagonal/>
    </border>
    <border>
      <left style="thin">
        <color rgb="FFE8D5B7"/>
      </left>
      <right style="thin">
        <color rgb="FFE8D5B7"/>
      </right>
      <top/>
      <bottom/>
      <diagonal/>
    </border>
    <border>
      <left/>
      <right/>
      <top style="thick">
        <color rgb="FF1F4E79"/>
      </top>
      <bottom/>
      <diagonal/>
    </border>
    <border>
      <left/>
      <right/>
      <top/>
      <bottom style="thick">
        <color rgb="FF1F4E79"/>
      </bottom>
      <diagonal/>
    </border>
    <border>
      <left/>
      <right/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1F4E79"/>
      </left>
      <right style="thin">
        <color rgb="FF1F4E79"/>
      </right>
      <top style="medium">
        <color rgb="FF1F4E79"/>
      </top>
      <bottom style="thin">
        <color rgb="FF1F4E79"/>
      </bottom>
      <diagonal/>
    </border>
    <border>
      <left style="thin">
        <color rgb="FF1F4E79"/>
      </left>
      <right style="thin">
        <color rgb="FF1F4E79"/>
      </right>
      <top style="medium">
        <color rgb="FF1F4E79"/>
      </top>
      <bottom style="thin">
        <color rgb="FF1F4E79"/>
      </bottom>
      <diagonal/>
    </border>
    <border>
      <left style="thin">
        <color rgb="FF1F4E79"/>
      </left>
      <right style="medium">
        <color rgb="FF1F4E79"/>
      </right>
      <top style="medium">
        <color rgb="FF1F4E79"/>
      </top>
      <bottom style="thin">
        <color rgb="FF1F4E79"/>
      </bottom>
      <diagonal/>
    </border>
    <border>
      <left style="medium">
        <color rgb="FF1F4E79"/>
      </left>
      <right style="thin">
        <color rgb="FF1F4E79"/>
      </right>
      <top style="thin">
        <color rgb="FF1F4E79"/>
      </top>
      <bottom style="thin">
        <color rgb="FF1F4E79"/>
      </bottom>
      <diagonal/>
    </border>
    <border>
      <left style="thin">
        <color rgb="FF1F4E79"/>
      </left>
      <right style="thin">
        <color rgb="FF1F4E79"/>
      </right>
      <top style="thin">
        <color rgb="FF1F4E79"/>
      </top>
      <bottom style="thin">
        <color rgb="FF1F4E79"/>
      </bottom>
      <diagonal/>
    </border>
    <border>
      <left style="thin">
        <color rgb="FF1F4E79"/>
      </left>
      <right style="medium">
        <color rgb="FF1F4E79"/>
      </right>
      <top style="thin">
        <color rgb="FF1F4E79"/>
      </top>
      <bottom style="thin">
        <color rgb="FF1F4E79"/>
      </bottom>
      <diagonal/>
    </border>
    <border>
      <left style="medium">
        <color rgb="FF1F4E79"/>
      </left>
      <right style="thin">
        <color rgb="FF1F4E79"/>
      </right>
      <top style="thin">
        <color rgb="FF1F4E79"/>
      </top>
      <bottom style="medium">
        <color rgb="FF1F4E79"/>
      </bottom>
      <diagonal/>
    </border>
    <border>
      <left style="thin">
        <color rgb="FF1F4E79"/>
      </left>
      <right style="thin">
        <color rgb="FF1F4E79"/>
      </right>
      <top style="thin">
        <color rgb="FF1F4E79"/>
      </top>
      <bottom style="medium">
        <color rgb="FF1F4E79"/>
      </bottom>
      <diagonal/>
    </border>
    <border>
      <left style="thin">
        <color rgb="FF1F4E79"/>
      </left>
      <right style="medium">
        <color rgb="FF1F4E79"/>
      </right>
      <top style="thin">
        <color rgb="FF1F4E79"/>
      </top>
      <bottom style="medium">
        <color rgb="FF1F4E79"/>
      </bottom>
      <diagonal/>
    </border>
    <border>
      <left style="medium">
        <color rgb="FFBFBFBF"/>
      </left>
      <right style="thin">
        <color rgb="FFBFBFBF"/>
      </right>
      <top style="medium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BFBFBF"/>
      </right>
      <top style="medium">
        <color rgb="FFBFBFBF"/>
      </top>
      <bottom style="thin">
        <color rgb="FFBFBFBF"/>
      </bottom>
      <diagonal/>
    </border>
    <border>
      <left style="medium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BFBFBF"/>
      </left>
      <right style="thin">
        <color rgb="FFBFBFBF"/>
      </right>
      <top style="thin">
        <color rgb="FFBFBFBF"/>
      </top>
      <bottom style="medium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BFBFBF"/>
      </bottom>
      <diagonal/>
    </border>
    <border>
      <left style="thin">
        <color rgb="FFBFBFBF"/>
      </left>
      <right style="medium">
        <color rgb="FFBFBFBF"/>
      </right>
      <top style="thin">
        <color rgb="FFBFBFBF"/>
      </top>
      <bottom style="medium">
        <color rgb="FFBFBFBF"/>
      </bottom>
      <diagonal/>
    </border>
    <border>
      <left style="medium">
        <color rgb="FFC00000"/>
      </left>
      <right style="thin">
        <color rgb="FFC00000"/>
      </right>
      <top style="medium">
        <color rgb="FFC00000"/>
      </top>
      <bottom style="thin">
        <color rgb="FFC00000"/>
      </bottom>
      <diagonal/>
    </border>
    <border>
      <left style="thin">
        <color rgb="FFC00000"/>
      </left>
      <right style="thin">
        <color rgb="FFC00000"/>
      </right>
      <top style="medium">
        <color rgb="FFC00000"/>
      </top>
      <bottom style="thin">
        <color rgb="FFC00000"/>
      </bottom>
      <diagonal/>
    </border>
    <border>
      <left style="thin">
        <color rgb="FFC00000"/>
      </left>
      <right style="medium">
        <color rgb="FFC00000"/>
      </right>
      <top style="medium">
        <color rgb="FFC00000"/>
      </top>
      <bottom style="thin">
        <color rgb="FFC00000"/>
      </bottom>
      <diagonal/>
    </border>
    <border>
      <left style="medium">
        <color rgb="FFC00000"/>
      </left>
      <right style="thin">
        <color rgb="FFC00000"/>
      </right>
      <top style="thin">
        <color rgb="FFC00000"/>
      </top>
      <bottom style="medium">
        <color rgb="FFC00000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medium">
        <color rgb="FFC00000"/>
      </bottom>
      <diagonal/>
    </border>
    <border>
      <left style="thin">
        <color rgb="FFC00000"/>
      </left>
      <right style="medium">
        <color rgb="FFC00000"/>
      </right>
      <top style="thin">
        <color rgb="FFC00000"/>
      </top>
      <bottom style="medium">
        <color rgb="FFC00000"/>
      </bottom>
      <diagonal/>
    </border>
    <border>
      <left style="thin">
        <color indexed="64"/>
      </left>
      <right style="thin">
        <color rgb="FFE8D5B7"/>
      </right>
      <top style="thin">
        <color indexed="64"/>
      </top>
      <bottom style="thin">
        <color rgb="FFE8D5B7"/>
      </bottom>
      <diagonal/>
    </border>
    <border>
      <left style="thin">
        <color rgb="FFE8D5B7"/>
      </left>
      <right style="thin">
        <color rgb="FFE8D5B7"/>
      </right>
      <top style="thin">
        <color indexed="64"/>
      </top>
      <bottom style="thin">
        <color rgb="FFE8D5B7"/>
      </bottom>
      <diagonal/>
    </border>
    <border>
      <left style="thin">
        <color rgb="FFE8D5B7"/>
      </left>
      <right style="thin">
        <color indexed="64"/>
      </right>
      <top style="thin">
        <color indexed="64"/>
      </top>
      <bottom style="thin">
        <color rgb="FFE8D5B7"/>
      </bottom>
      <diagonal/>
    </border>
    <border>
      <left style="thin">
        <color indexed="64"/>
      </left>
      <right style="thin">
        <color rgb="FFE8D5B7"/>
      </right>
      <top style="thin">
        <color rgb="FFE8D5B7"/>
      </top>
      <bottom style="thin">
        <color rgb="FFE8D5B7"/>
      </bottom>
      <diagonal/>
    </border>
    <border>
      <left style="thin">
        <color rgb="FFE8D5B7"/>
      </left>
      <right style="thin">
        <color indexed="64"/>
      </right>
      <top style="thin">
        <color rgb="FFE8D5B7"/>
      </top>
      <bottom style="thin">
        <color rgb="FFE8D5B7"/>
      </bottom>
      <diagonal/>
    </border>
    <border>
      <left style="thin">
        <color rgb="FFE8D5B7"/>
      </left>
      <right style="thin">
        <color indexed="64"/>
      </right>
      <top style="thin">
        <color rgb="FFE8D5B7"/>
      </top>
      <bottom/>
      <diagonal/>
    </border>
    <border>
      <left style="thin">
        <color rgb="FFE8D5B7"/>
      </left>
      <right style="thin">
        <color indexed="64"/>
      </right>
      <top/>
      <bottom style="thin">
        <color rgb="FFE8D5B7"/>
      </bottom>
      <diagonal/>
    </border>
    <border>
      <left style="thin">
        <color indexed="64"/>
      </left>
      <right/>
      <top style="thin">
        <color rgb="FFE8D5B7"/>
      </top>
      <bottom style="thin">
        <color rgb="FFE8D5B7"/>
      </bottom>
      <diagonal/>
    </border>
    <border>
      <left/>
      <right style="thin">
        <color indexed="64"/>
      </right>
      <top style="thin">
        <color rgb="FFE8D5B7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E8D5B7"/>
      </bottom>
      <diagonal/>
    </border>
    <border>
      <left style="thin">
        <color rgb="FFE8D5B7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E8D5B7"/>
      </right>
      <top style="thin">
        <color rgb="FFE8D5B7"/>
      </top>
      <bottom style="thin">
        <color indexed="64"/>
      </bottom>
      <diagonal/>
    </border>
    <border>
      <left style="thin">
        <color rgb="FFE8D5B7"/>
      </left>
      <right style="thin">
        <color rgb="FFE8D5B7"/>
      </right>
      <top style="thin">
        <color rgb="FFE8D5B7"/>
      </top>
      <bottom style="thin">
        <color indexed="64"/>
      </bottom>
      <diagonal/>
    </border>
    <border>
      <left style="thin">
        <color rgb="FFE8D5B7"/>
      </left>
      <right style="thin">
        <color indexed="64"/>
      </right>
      <top style="thin">
        <color rgb="FFE8D5B7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2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6" xfId="0" applyFont="1" applyBorder="1" applyAlignment="1">
      <alignment vertical="center" wrapText="1"/>
    </xf>
    <xf numFmtId="0" fontId="2" fillId="14" borderId="6" xfId="0" applyFont="1" applyFill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15" borderId="6" xfId="0" applyFont="1" applyFill="1" applyBorder="1" applyAlignment="1">
      <alignment vertical="center" wrapText="1"/>
    </xf>
    <xf numFmtId="0" fontId="2" fillId="15" borderId="8" xfId="0" applyFont="1" applyFill="1" applyBorder="1" applyAlignment="1">
      <alignment vertical="center" wrapText="1"/>
    </xf>
    <xf numFmtId="0" fontId="9" fillId="12" borderId="1" xfId="0" applyFont="1" applyFill="1" applyBorder="1" applyAlignment="1">
      <alignment horizontal="left" vertical="top" wrapText="1"/>
    </xf>
    <xf numFmtId="0" fontId="9" fillId="12" borderId="4" xfId="0" applyFont="1" applyFill="1" applyBorder="1" applyAlignment="1">
      <alignment horizontal="left" vertical="top" wrapText="1"/>
    </xf>
    <xf numFmtId="0" fontId="9" fillId="12" borderId="2" xfId="0" applyFont="1" applyFill="1" applyBorder="1" applyAlignment="1">
      <alignment horizontal="left" vertical="top" wrapText="1"/>
    </xf>
    <xf numFmtId="0" fontId="2" fillId="15" borderId="9" xfId="0" applyFont="1" applyFill="1" applyBorder="1" applyAlignment="1">
      <alignment vertical="center" wrapText="1"/>
    </xf>
    <xf numFmtId="0" fontId="13" fillId="12" borderId="3" xfId="0" applyFont="1" applyFill="1" applyBorder="1" applyAlignment="1">
      <alignment horizontal="left" vertical="top" wrapText="1"/>
    </xf>
    <xf numFmtId="0" fontId="0" fillId="0" borderId="16" xfId="0" applyBorder="1">
      <alignment vertical="center"/>
    </xf>
    <xf numFmtId="0" fontId="0" fillId="0" borderId="19" xfId="0" applyBorder="1">
      <alignment vertical="center"/>
    </xf>
    <xf numFmtId="0" fontId="0" fillId="0" borderId="12" xfId="0" applyBorder="1">
      <alignment vertical="center"/>
    </xf>
    <xf numFmtId="0" fontId="0" fillId="0" borderId="21" xfId="0" applyBorder="1">
      <alignment vertical="center"/>
    </xf>
    <xf numFmtId="0" fontId="21" fillId="20" borderId="27" xfId="0" applyFont="1" applyFill="1" applyBorder="1" applyAlignment="1">
      <alignment horizontal="center" vertical="center" wrapText="1"/>
    </xf>
    <xf numFmtId="176" fontId="2" fillId="0" borderId="30" xfId="0" applyNumberFormat="1" applyFont="1" applyBorder="1" applyAlignment="1">
      <alignment horizontal="center" vertical="center" wrapText="1"/>
    </xf>
    <xf numFmtId="177" fontId="2" fillId="0" borderId="30" xfId="0" applyNumberFormat="1" applyFont="1" applyBorder="1" applyAlignment="1">
      <alignment horizontal="center" vertical="center" wrapText="1"/>
    </xf>
    <xf numFmtId="176" fontId="21" fillId="0" borderId="33" xfId="0" applyNumberFormat="1" applyFont="1" applyBorder="1" applyAlignment="1">
      <alignment horizontal="center" vertical="center" wrapText="1"/>
    </xf>
    <xf numFmtId="177" fontId="21" fillId="0" borderId="33" xfId="0" applyNumberFormat="1" applyFont="1" applyBorder="1" applyAlignment="1">
      <alignment horizontal="center" vertical="center" wrapText="1"/>
    </xf>
    <xf numFmtId="0" fontId="6" fillId="22" borderId="35" xfId="0" applyFont="1" applyFill="1" applyBorder="1" applyAlignment="1">
      <alignment horizontal="center" vertical="center" wrapText="1"/>
    </xf>
    <xf numFmtId="0" fontId="6" fillId="22" borderId="36" xfId="0" applyFont="1" applyFill="1" applyBorder="1" applyAlignment="1">
      <alignment horizontal="center" vertical="center" wrapText="1"/>
    </xf>
    <xf numFmtId="0" fontId="6" fillId="22" borderId="37" xfId="0" applyFont="1" applyFill="1" applyBorder="1" applyAlignment="1">
      <alignment horizontal="center" vertical="center" wrapText="1"/>
    </xf>
    <xf numFmtId="3" fontId="2" fillId="0" borderId="38" xfId="0" applyNumberFormat="1" applyFont="1" applyBorder="1" applyAlignment="1">
      <alignment horizontal="center" vertical="center"/>
    </xf>
    <xf numFmtId="176" fontId="2" fillId="0" borderId="39" xfId="0" applyNumberFormat="1" applyFont="1" applyBorder="1" applyAlignment="1">
      <alignment horizontal="center" vertical="center"/>
    </xf>
    <xf numFmtId="177" fontId="2" fillId="0" borderId="39" xfId="0" applyNumberFormat="1" applyFont="1" applyBorder="1" applyAlignment="1">
      <alignment horizontal="center" vertical="center"/>
    </xf>
    <xf numFmtId="178" fontId="25" fillId="0" borderId="39" xfId="0" applyNumberFormat="1" applyFont="1" applyBorder="1" applyAlignment="1">
      <alignment horizontal="center" vertical="center"/>
    </xf>
    <xf numFmtId="0" fontId="2" fillId="0" borderId="40" xfId="0" applyFont="1" applyBorder="1" applyAlignment="1">
      <alignment horizontal="left" vertical="center"/>
    </xf>
    <xf numFmtId="0" fontId="2" fillId="0" borderId="39" xfId="0" applyFont="1" applyBorder="1" applyAlignment="1">
      <alignment horizontal="left" vertical="center"/>
    </xf>
    <xf numFmtId="178" fontId="32" fillId="0" borderId="33" xfId="0" applyNumberFormat="1" applyFont="1" applyBorder="1" applyAlignment="1">
      <alignment horizontal="center" vertical="center" wrapText="1"/>
    </xf>
    <xf numFmtId="179" fontId="2" fillId="0" borderId="30" xfId="0" applyNumberFormat="1" applyFont="1" applyBorder="1" applyAlignment="1">
      <alignment horizontal="center" vertical="center" wrapText="1"/>
    </xf>
    <xf numFmtId="179" fontId="21" fillId="0" borderId="33" xfId="0" applyNumberFormat="1" applyFont="1" applyBorder="1" applyAlignment="1">
      <alignment horizontal="center" vertical="center" wrapText="1"/>
    </xf>
    <xf numFmtId="180" fontId="29" fillId="19" borderId="31" xfId="0" applyNumberFormat="1" applyFont="1" applyFill="1" applyBorder="1" applyAlignment="1">
      <alignment horizontal="center" vertical="center" wrapText="1"/>
    </xf>
    <xf numFmtId="180" fontId="31" fillId="2" borderId="34" xfId="0" applyNumberFormat="1" applyFont="1" applyFill="1" applyBorder="1" applyAlignment="1">
      <alignment horizontal="center" vertical="center" wrapText="1"/>
    </xf>
    <xf numFmtId="0" fontId="21" fillId="24" borderId="27" xfId="0" applyFont="1" applyFill="1" applyBorder="1" applyAlignment="1">
      <alignment horizontal="center" vertical="center" wrapText="1"/>
    </xf>
    <xf numFmtId="178" fontId="34" fillId="0" borderId="30" xfId="0" applyNumberFormat="1" applyFont="1" applyBorder="1" applyAlignment="1">
      <alignment horizontal="center" vertical="center" wrapText="1"/>
    </xf>
    <xf numFmtId="178" fontId="34" fillId="0" borderId="39" xfId="0" applyNumberFormat="1" applyFont="1" applyBorder="1" applyAlignment="1">
      <alignment horizontal="center" vertical="center"/>
    </xf>
    <xf numFmtId="180" fontId="3" fillId="0" borderId="39" xfId="0" applyNumberFormat="1" applyFont="1" applyBorder="1" applyAlignment="1">
      <alignment horizontal="center" vertical="center"/>
    </xf>
    <xf numFmtId="0" fontId="21" fillId="23" borderId="28" xfId="0" applyFont="1" applyFill="1" applyBorder="1" applyAlignment="1">
      <alignment horizontal="center" vertical="center" wrapText="1"/>
    </xf>
    <xf numFmtId="0" fontId="3" fillId="3" borderId="26" xfId="0" applyFont="1" applyFill="1" applyBorder="1" applyAlignment="1">
      <alignment horizontal="center" vertical="center" wrapText="1"/>
    </xf>
    <xf numFmtId="0" fontId="3" fillId="3" borderId="27" xfId="0" applyFont="1" applyFill="1" applyBorder="1" applyAlignment="1">
      <alignment horizontal="center" vertical="center" wrapText="1"/>
    </xf>
    <xf numFmtId="0" fontId="3" fillId="24" borderId="27" xfId="0" applyFont="1" applyFill="1" applyBorder="1" applyAlignment="1">
      <alignment horizontal="center" vertical="center" wrapText="1"/>
    </xf>
    <xf numFmtId="179" fontId="21" fillId="0" borderId="32" xfId="0" applyNumberFormat="1" applyFont="1" applyBorder="1" applyAlignment="1">
      <alignment horizontal="center" vertical="center" wrapText="1"/>
    </xf>
    <xf numFmtId="176" fontId="33" fillId="0" borderId="33" xfId="0" applyNumberFormat="1" applyFont="1" applyBorder="1" applyAlignment="1">
      <alignment horizontal="center" vertical="center" wrapText="1"/>
    </xf>
    <xf numFmtId="177" fontId="33" fillId="0" borderId="33" xfId="0" applyNumberFormat="1" applyFont="1" applyBorder="1" applyAlignment="1">
      <alignment horizontal="center" vertical="center" wrapText="1"/>
    </xf>
    <xf numFmtId="178" fontId="38" fillId="0" borderId="33" xfId="0" applyNumberFormat="1" applyFont="1" applyBorder="1" applyAlignment="1">
      <alignment horizontal="center" vertical="center" wrapText="1"/>
    </xf>
    <xf numFmtId="3" fontId="2" fillId="14" borderId="38" xfId="0" applyNumberFormat="1" applyFont="1" applyFill="1" applyBorder="1" applyAlignment="1">
      <alignment horizontal="center" vertical="center"/>
    </xf>
    <xf numFmtId="0" fontId="2" fillId="14" borderId="39" xfId="0" applyFont="1" applyFill="1" applyBorder="1" applyAlignment="1">
      <alignment horizontal="left" vertical="center"/>
    </xf>
    <xf numFmtId="176" fontId="2" fillId="14" borderId="39" xfId="0" applyNumberFormat="1" applyFont="1" applyFill="1" applyBorder="1" applyAlignment="1">
      <alignment horizontal="center" vertical="center"/>
    </xf>
    <xf numFmtId="177" fontId="2" fillId="14" borderId="39" xfId="0" applyNumberFormat="1" applyFont="1" applyFill="1" applyBorder="1" applyAlignment="1">
      <alignment horizontal="center" vertical="center"/>
    </xf>
    <xf numFmtId="178" fontId="25" fillId="14" borderId="39" xfId="0" applyNumberFormat="1" applyFont="1" applyFill="1" applyBorder="1" applyAlignment="1">
      <alignment horizontal="center" vertical="center"/>
    </xf>
    <xf numFmtId="178" fontId="34" fillId="14" borderId="39" xfId="0" applyNumberFormat="1" applyFont="1" applyFill="1" applyBorder="1" applyAlignment="1">
      <alignment horizontal="center" vertical="center"/>
    </xf>
    <xf numFmtId="180" fontId="3" fillId="14" borderId="39" xfId="0" applyNumberFormat="1" applyFont="1" applyFill="1" applyBorder="1" applyAlignment="1">
      <alignment horizontal="center" vertical="center"/>
    </xf>
    <xf numFmtId="0" fontId="2" fillId="14" borderId="40" xfId="0" applyFont="1" applyFill="1" applyBorder="1" applyAlignment="1">
      <alignment horizontal="left" vertical="center"/>
    </xf>
    <xf numFmtId="3" fontId="2" fillId="14" borderId="41" xfId="0" applyNumberFormat="1" applyFont="1" applyFill="1" applyBorder="1" applyAlignment="1">
      <alignment horizontal="center" vertical="center"/>
    </xf>
    <xf numFmtId="0" fontId="2" fillId="14" borderId="42" xfId="0" applyFont="1" applyFill="1" applyBorder="1" applyAlignment="1">
      <alignment horizontal="left" vertical="center"/>
    </xf>
    <xf numFmtId="176" fontId="2" fillId="14" borderId="42" xfId="0" applyNumberFormat="1" applyFont="1" applyFill="1" applyBorder="1" applyAlignment="1">
      <alignment horizontal="center" vertical="center"/>
    </xf>
    <xf numFmtId="177" fontId="2" fillId="14" borderId="42" xfId="0" applyNumberFormat="1" applyFont="1" applyFill="1" applyBorder="1" applyAlignment="1">
      <alignment horizontal="center" vertical="center"/>
    </xf>
    <xf numFmtId="178" fontId="25" fillId="14" borderId="42" xfId="0" applyNumberFormat="1" applyFont="1" applyFill="1" applyBorder="1" applyAlignment="1">
      <alignment horizontal="center" vertical="center"/>
    </xf>
    <xf numFmtId="178" fontId="34" fillId="14" borderId="42" xfId="0" applyNumberFormat="1" applyFont="1" applyFill="1" applyBorder="1" applyAlignment="1">
      <alignment horizontal="center" vertical="center"/>
    </xf>
    <xf numFmtId="180" fontId="3" fillId="14" borderId="42" xfId="0" applyNumberFormat="1" applyFont="1" applyFill="1" applyBorder="1" applyAlignment="1">
      <alignment horizontal="center" vertical="center"/>
    </xf>
    <xf numFmtId="0" fontId="2" fillId="14" borderId="43" xfId="0" applyFont="1" applyFill="1" applyBorder="1" applyAlignment="1">
      <alignment horizontal="left" vertical="center"/>
    </xf>
    <xf numFmtId="0" fontId="3" fillId="4" borderId="44" xfId="0" applyFont="1" applyFill="1" applyBorder="1" applyAlignment="1">
      <alignment horizontal="center" vertical="center" wrapText="1"/>
    </xf>
    <xf numFmtId="0" fontId="3" fillId="4" borderId="45" xfId="0" applyFont="1" applyFill="1" applyBorder="1" applyAlignment="1">
      <alignment horizontal="center" vertical="center" wrapText="1"/>
    </xf>
    <xf numFmtId="0" fontId="3" fillId="24" borderId="45" xfId="0" applyFont="1" applyFill="1" applyBorder="1" applyAlignment="1">
      <alignment horizontal="center" vertical="center" wrapText="1"/>
    </xf>
    <xf numFmtId="179" fontId="21" fillId="0" borderId="47" xfId="0" applyNumberFormat="1" applyFont="1" applyBorder="1" applyAlignment="1">
      <alignment horizontal="center" vertical="center" wrapText="1"/>
    </xf>
    <xf numFmtId="176" fontId="33" fillId="0" borderId="48" xfId="0" applyNumberFormat="1" applyFont="1" applyBorder="1" applyAlignment="1">
      <alignment horizontal="center" vertical="center" wrapText="1"/>
    </xf>
    <xf numFmtId="177" fontId="33" fillId="0" borderId="48" xfId="0" applyNumberFormat="1" applyFont="1" applyBorder="1" applyAlignment="1">
      <alignment horizontal="center" vertical="center" wrapText="1"/>
    </xf>
    <xf numFmtId="178" fontId="38" fillId="0" borderId="48" xfId="0" applyNumberFormat="1" applyFont="1" applyBorder="1" applyAlignment="1">
      <alignment horizontal="center" vertical="center" wrapText="1"/>
    </xf>
    <xf numFmtId="0" fontId="6" fillId="27" borderId="35" xfId="0" applyFont="1" applyFill="1" applyBorder="1" applyAlignment="1">
      <alignment horizontal="center" vertical="center" wrapText="1"/>
    </xf>
    <xf numFmtId="0" fontId="6" fillId="27" borderId="36" xfId="0" applyFont="1" applyFill="1" applyBorder="1" applyAlignment="1">
      <alignment horizontal="center" vertical="center" wrapText="1"/>
    </xf>
    <xf numFmtId="0" fontId="6" fillId="27" borderId="37" xfId="0" applyFont="1" applyFill="1" applyBorder="1" applyAlignment="1">
      <alignment horizontal="center" vertical="center" wrapText="1"/>
    </xf>
    <xf numFmtId="0" fontId="13" fillId="12" borderId="5" xfId="0" applyFont="1" applyFill="1" applyBorder="1" applyAlignment="1">
      <alignment horizontal="left" vertical="top" wrapText="1"/>
    </xf>
    <xf numFmtId="0" fontId="7" fillId="7" borderId="50" xfId="0" applyFont="1" applyFill="1" applyBorder="1" applyAlignment="1">
      <alignment horizontal="center" vertical="center"/>
    </xf>
    <xf numFmtId="0" fontId="7" fillId="8" borderId="51" xfId="0" applyFont="1" applyFill="1" applyBorder="1" applyAlignment="1">
      <alignment horizontal="center" vertical="center"/>
    </xf>
    <xf numFmtId="0" fontId="7" fillId="9" borderId="51" xfId="0" applyFont="1" applyFill="1" applyBorder="1" applyAlignment="1">
      <alignment horizontal="center" vertical="center"/>
    </xf>
    <xf numFmtId="0" fontId="7" fillId="10" borderId="52" xfId="0" applyFont="1" applyFill="1" applyBorder="1" applyAlignment="1">
      <alignment horizontal="center" vertical="center"/>
    </xf>
    <xf numFmtId="20" fontId="8" fillId="11" borderId="53" xfId="0" applyNumberFormat="1" applyFont="1" applyFill="1" applyBorder="1" applyAlignment="1">
      <alignment horizontal="center" vertical="center" wrapText="1"/>
    </xf>
    <xf numFmtId="0" fontId="2" fillId="15" borderId="54" xfId="0" applyFont="1" applyFill="1" applyBorder="1" applyAlignment="1">
      <alignment vertical="center" wrapText="1"/>
    </xf>
    <xf numFmtId="0" fontId="2" fillId="14" borderId="54" xfId="0" applyFont="1" applyFill="1" applyBorder="1" applyAlignment="1">
      <alignment vertical="center" wrapText="1"/>
    </xf>
    <xf numFmtId="0" fontId="2" fillId="15" borderId="55" xfId="0" applyFont="1" applyFill="1" applyBorder="1" applyAlignment="1">
      <alignment vertical="center" wrapText="1"/>
    </xf>
    <xf numFmtId="20" fontId="8" fillId="11" borderId="57" xfId="0" applyNumberFormat="1" applyFont="1" applyFill="1" applyBorder="1" applyAlignment="1">
      <alignment horizontal="center" vertical="center" wrapText="1"/>
    </xf>
    <xf numFmtId="0" fontId="2" fillId="15" borderId="61" xfId="0" applyFont="1" applyFill="1" applyBorder="1" applyAlignment="1">
      <alignment vertical="center" wrapText="1"/>
    </xf>
    <xf numFmtId="0" fontId="2" fillId="0" borderId="56" xfId="0" applyFont="1" applyBorder="1" applyAlignment="1">
      <alignment vertical="center" wrapText="1"/>
    </xf>
    <xf numFmtId="0" fontId="2" fillId="0" borderId="54" xfId="0" applyFont="1" applyBorder="1" applyAlignment="1">
      <alignment vertical="center" wrapText="1"/>
    </xf>
    <xf numFmtId="20" fontId="8" fillId="17" borderId="62" xfId="0" applyNumberFormat="1" applyFont="1" applyFill="1" applyBorder="1" applyAlignment="1">
      <alignment horizontal="center" vertical="center" wrapText="1"/>
    </xf>
    <xf numFmtId="0" fontId="3" fillId="16" borderId="63" xfId="0" applyFont="1" applyFill="1" applyBorder="1" applyAlignment="1">
      <alignment vertical="center" wrapText="1"/>
    </xf>
    <xf numFmtId="0" fontId="3" fillId="16" borderId="64" xfId="0" applyFont="1" applyFill="1" applyBorder="1" applyAlignment="1">
      <alignment vertical="center" wrapText="1"/>
    </xf>
    <xf numFmtId="0" fontId="9" fillId="12" borderId="58" xfId="0" applyFont="1" applyFill="1" applyBorder="1" applyAlignment="1">
      <alignment horizontal="left" vertical="top" wrapText="1"/>
    </xf>
    <xf numFmtId="0" fontId="9" fillId="12" borderId="0" xfId="0" applyFont="1" applyFill="1" applyAlignment="1">
      <alignment horizontal="left" vertical="top" wrapText="1"/>
    </xf>
    <xf numFmtId="0" fontId="9" fillId="12" borderId="59" xfId="0" applyFont="1" applyFill="1" applyBorder="1" applyAlignment="1">
      <alignment horizontal="left" vertical="top" wrapText="1"/>
    </xf>
    <xf numFmtId="0" fontId="9" fillId="12" borderId="60" xfId="0" applyFont="1" applyFill="1" applyBorder="1" applyAlignment="1">
      <alignment horizontal="left" vertical="top" wrapText="1"/>
    </xf>
    <xf numFmtId="0" fontId="4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16" fillId="12" borderId="3" xfId="0" applyFont="1" applyFill="1" applyBorder="1" applyAlignment="1">
      <alignment horizontal="left" vertical="top" wrapText="1"/>
    </xf>
    <xf numFmtId="0" fontId="18" fillId="12" borderId="1" xfId="0" applyFont="1" applyFill="1" applyBorder="1" applyAlignment="1">
      <alignment horizontal="left" vertical="top" wrapText="1"/>
    </xf>
    <xf numFmtId="0" fontId="18" fillId="12" borderId="58" xfId="0" applyFont="1" applyFill="1" applyBorder="1" applyAlignment="1">
      <alignment horizontal="left" vertical="top" wrapText="1"/>
    </xf>
    <xf numFmtId="0" fontId="18" fillId="12" borderId="4" xfId="0" applyFont="1" applyFill="1" applyBorder="1" applyAlignment="1">
      <alignment horizontal="left" vertical="top" wrapText="1"/>
    </xf>
    <xf numFmtId="0" fontId="18" fillId="12" borderId="0" xfId="0" applyFont="1" applyFill="1" applyAlignment="1">
      <alignment horizontal="left" vertical="top" wrapText="1"/>
    </xf>
    <xf numFmtId="0" fontId="18" fillId="12" borderId="59" xfId="0" applyFont="1" applyFill="1" applyBorder="1" applyAlignment="1">
      <alignment horizontal="left" vertical="top" wrapText="1"/>
    </xf>
    <xf numFmtId="0" fontId="18" fillId="12" borderId="5" xfId="0" applyFont="1" applyFill="1" applyBorder="1" applyAlignment="1">
      <alignment horizontal="left" vertical="top" wrapText="1"/>
    </xf>
    <xf numFmtId="0" fontId="18" fillId="12" borderId="2" xfId="0" applyFont="1" applyFill="1" applyBorder="1" applyAlignment="1">
      <alignment horizontal="left" vertical="top" wrapText="1"/>
    </xf>
    <xf numFmtId="0" fontId="18" fillId="12" borderId="60" xfId="0" applyFont="1" applyFill="1" applyBorder="1" applyAlignment="1">
      <alignment horizontal="left" vertical="top" wrapText="1"/>
    </xf>
    <xf numFmtId="20" fontId="10" fillId="13" borderId="57" xfId="0" applyNumberFormat="1" applyFont="1" applyFill="1" applyBorder="1" applyAlignment="1">
      <alignment horizontal="center" vertical="center" wrapText="1"/>
    </xf>
    <xf numFmtId="0" fontId="2" fillId="15" borderId="8" xfId="0" applyFont="1" applyFill="1" applyBorder="1" applyAlignment="1">
      <alignment horizontal="left" vertical="center" wrapText="1"/>
    </xf>
    <xf numFmtId="0" fontId="2" fillId="15" borderId="9" xfId="0" applyFont="1" applyFill="1" applyBorder="1" applyAlignment="1">
      <alignment horizontal="left" vertical="center" wrapText="1"/>
    </xf>
    <xf numFmtId="0" fontId="2" fillId="15" borderId="7" xfId="0" applyFont="1" applyFill="1" applyBorder="1" applyAlignment="1">
      <alignment horizontal="left" vertical="center" wrapText="1"/>
    </xf>
    <xf numFmtId="0" fontId="2" fillId="14" borderId="8" xfId="0" applyFont="1" applyFill="1" applyBorder="1" applyAlignment="1">
      <alignment horizontal="left" vertical="center" wrapText="1"/>
    </xf>
    <xf numFmtId="0" fontId="2" fillId="14" borderId="9" xfId="0" applyFont="1" applyFill="1" applyBorder="1" applyAlignment="1">
      <alignment horizontal="left" vertical="center" wrapText="1"/>
    </xf>
    <xf numFmtId="0" fontId="2" fillId="14" borderId="7" xfId="0" applyFont="1" applyFill="1" applyBorder="1" applyAlignment="1">
      <alignment horizontal="left" vertical="center" wrapText="1"/>
    </xf>
    <xf numFmtId="0" fontId="2" fillId="15" borderId="55" xfId="0" applyFont="1" applyFill="1" applyBorder="1" applyAlignment="1">
      <alignment horizontal="left" vertical="center" wrapText="1"/>
    </xf>
    <xf numFmtId="0" fontId="2" fillId="15" borderId="61" xfId="0" applyFont="1" applyFill="1" applyBorder="1" applyAlignment="1">
      <alignment horizontal="left" vertical="center" wrapText="1"/>
    </xf>
    <xf numFmtId="0" fontId="2" fillId="15" borderId="56" xfId="0" applyFont="1" applyFill="1" applyBorder="1" applyAlignment="1">
      <alignment horizontal="left" vertical="center" wrapText="1"/>
    </xf>
    <xf numFmtId="0" fontId="21" fillId="0" borderId="0" xfId="0" applyFont="1" applyAlignment="1">
      <alignment horizontal="left" vertical="center" wrapText="1"/>
    </xf>
    <xf numFmtId="0" fontId="26" fillId="0" borderId="24" xfId="0" applyFont="1" applyBorder="1" applyAlignment="1">
      <alignment horizontal="left" vertical="center" wrapText="1"/>
    </xf>
    <xf numFmtId="0" fontId="26" fillId="0" borderId="12" xfId="0" applyFont="1" applyBorder="1" applyAlignment="1">
      <alignment horizontal="left" vertical="center" wrapText="1"/>
    </xf>
    <xf numFmtId="0" fontId="27" fillId="0" borderId="12" xfId="0" applyFont="1" applyBorder="1" applyAlignment="1">
      <alignment horizontal="left" vertical="center" wrapText="1"/>
    </xf>
    <xf numFmtId="0" fontId="27" fillId="0" borderId="25" xfId="0" applyFont="1" applyBorder="1" applyAlignment="1">
      <alignment horizontal="left" vertical="center" wrapText="1"/>
    </xf>
    <xf numFmtId="0" fontId="26" fillId="0" borderId="22" xfId="0" applyFont="1" applyBorder="1" applyAlignment="1">
      <alignment horizontal="left" vertical="center" wrapText="1"/>
    </xf>
    <xf numFmtId="0" fontId="26" fillId="0" borderId="21" xfId="0" applyFont="1" applyBorder="1" applyAlignment="1">
      <alignment horizontal="left" vertical="center" wrapText="1"/>
    </xf>
    <xf numFmtId="0" fontId="27" fillId="0" borderId="21" xfId="0" applyFont="1" applyBorder="1" applyAlignment="1">
      <alignment horizontal="left" vertical="center" wrapText="1"/>
    </xf>
    <xf numFmtId="0" fontId="27" fillId="0" borderId="23" xfId="0" applyFont="1" applyBorder="1" applyAlignment="1">
      <alignment horizontal="left" vertical="center" wrapText="1"/>
    </xf>
    <xf numFmtId="0" fontId="26" fillId="0" borderId="25" xfId="0" applyFont="1" applyBorder="1" applyAlignment="1">
      <alignment horizontal="left" vertical="center" wrapText="1"/>
    </xf>
    <xf numFmtId="0" fontId="3" fillId="20" borderId="24" xfId="0" applyFont="1" applyFill="1" applyBorder="1" applyAlignment="1">
      <alignment horizontal="center" vertical="center" wrapText="1"/>
    </xf>
    <xf numFmtId="0" fontId="3" fillId="20" borderId="12" xfId="0" applyFont="1" applyFill="1" applyBorder="1" applyAlignment="1">
      <alignment horizontal="center" vertical="center" wrapText="1"/>
    </xf>
    <xf numFmtId="0" fontId="3" fillId="20" borderId="25" xfId="0" applyFont="1" applyFill="1" applyBorder="1" applyAlignment="1">
      <alignment horizontal="center" vertical="center" wrapText="1"/>
    </xf>
    <xf numFmtId="0" fontId="24" fillId="0" borderId="16" xfId="0" applyFont="1" applyBorder="1" applyAlignment="1">
      <alignment horizontal="left" vertical="center" wrapText="1"/>
    </xf>
    <xf numFmtId="0" fontId="24" fillId="0" borderId="0" xfId="0" applyFont="1" applyAlignment="1">
      <alignment horizontal="left" vertical="center" wrapText="1"/>
    </xf>
    <xf numFmtId="0" fontId="24" fillId="0" borderId="19" xfId="0" applyFont="1" applyBorder="1" applyAlignment="1">
      <alignment horizontal="left" vertical="center" wrapText="1"/>
    </xf>
    <xf numFmtId="0" fontId="25" fillId="0" borderId="17" xfId="0" applyFont="1" applyBorder="1" applyAlignment="1">
      <alignment horizontal="left" vertical="center" wrapText="1"/>
    </xf>
    <xf numFmtId="0" fontId="25" fillId="0" borderId="14" xfId="0" applyFont="1" applyBorder="1" applyAlignment="1">
      <alignment horizontal="left" vertical="center" wrapText="1"/>
    </xf>
    <xf numFmtId="0" fontId="25" fillId="0" borderId="20" xfId="0" applyFont="1" applyBorder="1" applyAlignment="1">
      <alignment horizontal="left" vertical="center" wrapText="1"/>
    </xf>
    <xf numFmtId="0" fontId="23" fillId="18" borderId="15" xfId="0" applyFont="1" applyFill="1" applyBorder="1" applyAlignment="1">
      <alignment horizontal="center" vertical="center" wrapText="1"/>
    </xf>
    <xf numFmtId="0" fontId="23" fillId="18" borderId="13" xfId="0" applyFont="1" applyFill="1" applyBorder="1" applyAlignment="1">
      <alignment horizontal="center" vertical="center" wrapText="1"/>
    </xf>
    <xf numFmtId="0" fontId="23" fillId="18" borderId="18" xfId="0" applyFont="1" applyFill="1" applyBorder="1" applyAlignment="1">
      <alignment horizontal="center" vertical="center" wrapText="1"/>
    </xf>
    <xf numFmtId="0" fontId="3" fillId="0" borderId="16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  <xf numFmtId="0" fontId="25" fillId="0" borderId="16" xfId="0" applyFont="1" applyBorder="1" applyAlignment="1">
      <alignment horizontal="left" vertical="center" wrapText="1"/>
    </xf>
    <xf numFmtId="0" fontId="25" fillId="0" borderId="0" xfId="0" applyFont="1" applyAlignment="1">
      <alignment horizontal="left" vertical="center" wrapText="1"/>
    </xf>
    <xf numFmtId="0" fontId="25" fillId="0" borderId="19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left" vertical="center" wrapText="1"/>
    </xf>
    <xf numFmtId="0" fontId="3" fillId="19" borderId="22" xfId="0" applyFont="1" applyFill="1" applyBorder="1" applyAlignment="1">
      <alignment horizontal="center" vertical="center" wrapText="1"/>
    </xf>
    <xf numFmtId="0" fontId="3" fillId="19" borderId="21" xfId="0" applyFont="1" applyFill="1" applyBorder="1" applyAlignment="1">
      <alignment horizontal="center" vertical="center" wrapText="1"/>
    </xf>
    <xf numFmtId="0" fontId="3" fillId="19" borderId="2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2" fillId="0" borderId="0" xfId="0" applyFont="1" applyAlignment="1">
      <alignment horizontal="left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35" fillId="26" borderId="0" xfId="0" applyFont="1" applyFill="1" applyAlignment="1">
      <alignment horizontal="left" vertical="center" wrapText="1"/>
    </xf>
    <xf numFmtId="0" fontId="37" fillId="22" borderId="0" xfId="0" applyFont="1" applyFill="1" applyAlignment="1">
      <alignment horizontal="center" vertical="center" wrapText="1"/>
    </xf>
    <xf numFmtId="0" fontId="3" fillId="2" borderId="27" xfId="0" applyFont="1" applyFill="1" applyBorder="1" applyAlignment="1">
      <alignment horizontal="center" vertical="center" wrapText="1"/>
    </xf>
    <xf numFmtId="0" fontId="3" fillId="23" borderId="27" xfId="0" applyFont="1" applyFill="1" applyBorder="1" applyAlignment="1">
      <alignment horizontal="center" vertical="center" wrapText="1"/>
    </xf>
    <xf numFmtId="0" fontId="3" fillId="23" borderId="28" xfId="0" applyFont="1" applyFill="1" applyBorder="1" applyAlignment="1">
      <alignment horizontal="center" vertical="center" wrapText="1"/>
    </xf>
    <xf numFmtId="178" fontId="29" fillId="19" borderId="33" xfId="0" applyNumberFormat="1" applyFont="1" applyFill="1" applyBorder="1" applyAlignment="1">
      <alignment horizontal="center" vertical="center" wrapText="1"/>
    </xf>
    <xf numFmtId="180" fontId="29" fillId="19" borderId="33" xfId="0" applyNumberFormat="1" applyFont="1" applyFill="1" applyBorder="1" applyAlignment="1">
      <alignment horizontal="center" vertical="center" wrapText="1"/>
    </xf>
    <xf numFmtId="180" fontId="29" fillId="19" borderId="34" xfId="0" applyNumberFormat="1" applyFont="1" applyFill="1" applyBorder="1" applyAlignment="1">
      <alignment horizontal="center" vertical="center" wrapText="1"/>
    </xf>
    <xf numFmtId="0" fontId="37" fillId="27" borderId="0" xfId="0" applyFont="1" applyFill="1" applyAlignment="1">
      <alignment horizontal="center" vertical="center" wrapText="1"/>
    </xf>
    <xf numFmtId="0" fontId="3" fillId="2" borderId="45" xfId="0" applyFont="1" applyFill="1" applyBorder="1" applyAlignment="1">
      <alignment horizontal="center" vertical="center" wrapText="1"/>
    </xf>
    <xf numFmtId="0" fontId="3" fillId="23" borderId="45" xfId="0" applyFont="1" applyFill="1" applyBorder="1" applyAlignment="1">
      <alignment horizontal="center" vertical="center" wrapText="1"/>
    </xf>
    <xf numFmtId="0" fontId="3" fillId="23" borderId="46" xfId="0" applyFont="1" applyFill="1" applyBorder="1" applyAlignment="1">
      <alignment horizontal="center" vertical="center" wrapText="1"/>
    </xf>
    <xf numFmtId="178" fontId="29" fillId="19" borderId="48" xfId="0" applyNumberFormat="1" applyFont="1" applyFill="1" applyBorder="1" applyAlignment="1">
      <alignment horizontal="center" vertical="center" wrapText="1"/>
    </xf>
    <xf numFmtId="180" fontId="29" fillId="19" borderId="48" xfId="0" applyNumberFormat="1" applyFont="1" applyFill="1" applyBorder="1" applyAlignment="1">
      <alignment horizontal="center" vertical="center" wrapText="1"/>
    </xf>
    <xf numFmtId="180" fontId="29" fillId="19" borderId="49" xfId="0" applyNumberFormat="1" applyFont="1" applyFill="1" applyBorder="1" applyAlignment="1">
      <alignment horizontal="center" vertical="center" wrapText="1"/>
    </xf>
    <xf numFmtId="0" fontId="30" fillId="21" borderId="32" xfId="0" applyFont="1" applyFill="1" applyBorder="1" applyAlignment="1">
      <alignment horizontal="center" vertical="center" wrapText="1"/>
    </xf>
    <xf numFmtId="0" fontId="30" fillId="21" borderId="33" xfId="0" applyFont="1" applyFill="1" applyBorder="1" applyAlignment="1">
      <alignment horizontal="center" vertical="center" wrapText="1"/>
    </xf>
    <xf numFmtId="178" fontId="31" fillId="2" borderId="33" xfId="0" applyNumberFormat="1" applyFont="1" applyFill="1" applyBorder="1" applyAlignment="1">
      <alignment horizontal="center" vertical="center" wrapText="1"/>
    </xf>
    <xf numFmtId="0" fontId="35" fillId="19" borderId="0" xfId="0" applyFont="1" applyFill="1" applyAlignment="1">
      <alignment horizontal="left" vertical="center" wrapText="1"/>
    </xf>
    <xf numFmtId="0" fontId="36" fillId="25" borderId="0" xfId="0" applyFont="1" applyFill="1" applyAlignment="1">
      <alignment horizontal="left" vertical="center" wrapText="1"/>
    </xf>
    <xf numFmtId="0" fontId="28" fillId="19" borderId="0" xfId="0" applyFont="1" applyFill="1" applyAlignment="1">
      <alignment horizontal="center" vertical="center" wrapText="1"/>
    </xf>
    <xf numFmtId="0" fontId="21" fillId="20" borderId="26" xfId="0" applyFont="1" applyFill="1" applyBorder="1" applyAlignment="1">
      <alignment horizontal="center" vertical="center" wrapText="1"/>
    </xf>
    <xf numFmtId="0" fontId="21" fillId="20" borderId="27" xfId="0" applyFont="1" applyFill="1" applyBorder="1" applyAlignment="1">
      <alignment horizontal="center" vertical="center" wrapText="1"/>
    </xf>
    <xf numFmtId="0" fontId="21" fillId="2" borderId="27" xfId="0" applyFont="1" applyFill="1" applyBorder="1" applyAlignment="1">
      <alignment horizontal="center" vertical="center" wrapText="1"/>
    </xf>
    <xf numFmtId="0" fontId="21" fillId="3" borderId="29" xfId="0" applyFont="1" applyFill="1" applyBorder="1" applyAlignment="1">
      <alignment horizontal="center" vertical="center" wrapText="1"/>
    </xf>
    <xf numFmtId="0" fontId="21" fillId="3" borderId="30" xfId="0" applyFont="1" applyFill="1" applyBorder="1" applyAlignment="1">
      <alignment horizontal="center" vertical="center" wrapText="1"/>
    </xf>
    <xf numFmtId="178" fontId="29" fillId="19" borderId="30" xfId="0" applyNumberFormat="1" applyFont="1" applyFill="1" applyBorder="1" applyAlignment="1">
      <alignment horizontal="center" vertical="center" wrapText="1"/>
    </xf>
    <xf numFmtId="0" fontId="21" fillId="4" borderId="29" xfId="0" applyFont="1" applyFill="1" applyBorder="1" applyAlignment="1">
      <alignment horizontal="center" vertical="center" wrapText="1"/>
    </xf>
    <xf numFmtId="0" fontId="21" fillId="4" borderId="30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99AFC86-D5B8-48E9-9294-9ADF6FE5F6B5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569a4384-c8e8-417a-a235-4acfe4d9128d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296E0-720F-4901-8B45-E9B2914FD4B3}">
  <dimension ref="A1:D44"/>
  <sheetViews>
    <sheetView tabSelected="1" topLeftCell="A6" zoomScale="80" zoomScaleNormal="80" workbookViewId="0">
      <selection activeCell="G23" sqref="G23"/>
    </sheetView>
  </sheetViews>
  <sheetFormatPr defaultRowHeight="17" x14ac:dyDescent="0.45"/>
  <cols>
    <col min="1" max="1" width="11.6640625" customWidth="1"/>
    <col min="2" max="2" width="44.33203125" customWidth="1"/>
    <col min="3" max="4" width="45.08203125" customWidth="1"/>
    <col min="5" max="5" width="18.5" bestFit="1" customWidth="1"/>
  </cols>
  <sheetData>
    <row r="1" spans="1:4" ht="42" customHeight="1" x14ac:dyDescent="0.45">
      <c r="A1" s="93" t="s">
        <v>14</v>
      </c>
      <c r="B1" s="93"/>
      <c r="C1" s="93"/>
      <c r="D1" s="93"/>
    </row>
    <row r="2" spans="1:4" ht="22" customHeight="1" x14ac:dyDescent="0.45">
      <c r="A2" s="94" t="s">
        <v>19</v>
      </c>
      <c r="B2" s="94"/>
      <c r="C2" s="94"/>
      <c r="D2" s="94"/>
    </row>
    <row r="3" spans="1:4" x14ac:dyDescent="0.45">
      <c r="A3" s="1"/>
      <c r="B3" s="1"/>
      <c r="C3" s="1"/>
      <c r="D3" s="1"/>
    </row>
    <row r="4" spans="1:4" ht="30" customHeight="1" x14ac:dyDescent="0.45">
      <c r="A4" s="74" t="s">
        <v>0</v>
      </c>
      <c r="B4" s="75" t="s">
        <v>3</v>
      </c>
      <c r="C4" s="76" t="s">
        <v>4</v>
      </c>
      <c r="D4" s="77" t="s">
        <v>5</v>
      </c>
    </row>
    <row r="5" spans="1:4" ht="28" customHeight="1" x14ac:dyDescent="0.45">
      <c r="A5" s="78">
        <v>0.16666666666666666</v>
      </c>
      <c r="B5" s="5" t="s">
        <v>22</v>
      </c>
      <c r="C5" s="5"/>
      <c r="D5" s="79"/>
    </row>
    <row r="6" spans="1:4" ht="28" customHeight="1" x14ac:dyDescent="0.45">
      <c r="A6" s="78">
        <v>0.1875</v>
      </c>
      <c r="B6" s="3" t="s">
        <v>33</v>
      </c>
      <c r="C6" s="3"/>
      <c r="D6" s="80"/>
    </row>
    <row r="7" spans="1:4" ht="28" customHeight="1" x14ac:dyDescent="0.45">
      <c r="A7" s="78">
        <v>0.20833333333333334</v>
      </c>
      <c r="B7" s="5" t="s">
        <v>36</v>
      </c>
      <c r="C7" s="5"/>
      <c r="D7" s="79"/>
    </row>
    <row r="8" spans="1:4" ht="28" customHeight="1" x14ac:dyDescent="0.45">
      <c r="A8" s="78">
        <v>0.22916666666666666</v>
      </c>
      <c r="B8" s="108" t="s">
        <v>37</v>
      </c>
      <c r="C8" s="3"/>
      <c r="D8" s="80"/>
    </row>
    <row r="9" spans="1:4" ht="28" customHeight="1" x14ac:dyDescent="0.45">
      <c r="A9" s="78">
        <v>0.25</v>
      </c>
      <c r="B9" s="110"/>
      <c r="C9" s="5" t="s">
        <v>32</v>
      </c>
      <c r="D9" s="79"/>
    </row>
    <row r="10" spans="1:4" ht="28" customHeight="1" x14ac:dyDescent="0.45">
      <c r="A10" s="78">
        <v>0.27083333333333331</v>
      </c>
      <c r="B10" s="108" t="s">
        <v>107</v>
      </c>
      <c r="C10" s="3" t="s">
        <v>33</v>
      </c>
      <c r="D10" s="80" t="s">
        <v>32</v>
      </c>
    </row>
    <row r="11" spans="1:4" ht="28" customHeight="1" x14ac:dyDescent="0.45">
      <c r="A11" s="78">
        <v>0.29166666666666669</v>
      </c>
      <c r="B11" s="109"/>
      <c r="C11" s="5" t="s">
        <v>30</v>
      </c>
      <c r="D11" s="79" t="s">
        <v>33</v>
      </c>
    </row>
    <row r="12" spans="1:4" ht="28" customHeight="1" x14ac:dyDescent="0.45">
      <c r="A12" s="78">
        <v>0.3125</v>
      </c>
      <c r="B12" s="109"/>
      <c r="C12" s="108" t="s">
        <v>109</v>
      </c>
      <c r="D12" s="80" t="s">
        <v>31</v>
      </c>
    </row>
    <row r="13" spans="1:4" ht="28" customHeight="1" x14ac:dyDescent="0.45">
      <c r="A13" s="78">
        <v>0.33333333333333331</v>
      </c>
      <c r="B13" s="109"/>
      <c r="C13" s="109"/>
      <c r="D13" s="111" t="s">
        <v>108</v>
      </c>
    </row>
    <row r="14" spans="1:4" ht="28" customHeight="1" x14ac:dyDescent="0.45">
      <c r="A14" s="78">
        <v>0.35416666666666669</v>
      </c>
      <c r="B14" s="109"/>
      <c r="C14" s="109"/>
      <c r="D14" s="112"/>
    </row>
    <row r="15" spans="1:4" ht="28" customHeight="1" x14ac:dyDescent="0.45">
      <c r="A15" s="78">
        <v>0.375</v>
      </c>
      <c r="B15" s="109"/>
      <c r="C15" s="110"/>
      <c r="D15" s="112"/>
    </row>
    <row r="16" spans="1:4" ht="28" customHeight="1" x14ac:dyDescent="0.45">
      <c r="A16" s="78">
        <v>0.39583333333333331</v>
      </c>
      <c r="B16" s="110"/>
      <c r="C16" s="3" t="s">
        <v>34</v>
      </c>
      <c r="D16" s="113"/>
    </row>
    <row r="17" spans="1:4" ht="28" customHeight="1" x14ac:dyDescent="0.45">
      <c r="A17" s="78">
        <v>0.41666666666666669</v>
      </c>
      <c r="B17" s="6" t="s">
        <v>1</v>
      </c>
      <c r="C17" s="6" t="s">
        <v>35</v>
      </c>
      <c r="D17" s="81" t="s">
        <v>110</v>
      </c>
    </row>
    <row r="18" spans="1:4" ht="34" x14ac:dyDescent="0.45">
      <c r="A18" s="82">
        <v>0.4375</v>
      </c>
      <c r="B18" s="11" t="s">
        <v>113</v>
      </c>
      <c r="C18" s="7" t="s">
        <v>111</v>
      </c>
      <c r="D18" s="89" t="s">
        <v>111</v>
      </c>
    </row>
    <row r="19" spans="1:4" ht="28" customHeight="1" x14ac:dyDescent="0.45">
      <c r="A19" s="82">
        <v>0.45833333333333331</v>
      </c>
      <c r="B19" s="8" t="s">
        <v>39</v>
      </c>
      <c r="C19" s="90" t="s">
        <v>6</v>
      </c>
      <c r="D19" s="91" t="s">
        <v>6</v>
      </c>
    </row>
    <row r="20" spans="1:4" ht="28" customHeight="1" x14ac:dyDescent="0.45">
      <c r="A20" s="82">
        <v>0.47916666666666669</v>
      </c>
      <c r="B20" s="73" t="s">
        <v>106</v>
      </c>
      <c r="C20" s="9" t="s">
        <v>15</v>
      </c>
      <c r="D20" s="92" t="s">
        <v>15</v>
      </c>
    </row>
    <row r="21" spans="1:4" ht="28" customHeight="1" x14ac:dyDescent="0.45">
      <c r="A21" s="78">
        <v>0.5</v>
      </c>
      <c r="B21" s="10" t="s">
        <v>38</v>
      </c>
      <c r="C21" s="10" t="s">
        <v>7</v>
      </c>
      <c r="D21" s="83" t="s">
        <v>7</v>
      </c>
    </row>
    <row r="22" spans="1:4" ht="140" customHeight="1" x14ac:dyDescent="0.45">
      <c r="A22" s="104" t="s">
        <v>18</v>
      </c>
      <c r="B22" s="95" t="s">
        <v>114</v>
      </c>
      <c r="C22" s="96"/>
      <c r="D22" s="97"/>
    </row>
    <row r="23" spans="1:4" ht="140" customHeight="1" x14ac:dyDescent="0.45">
      <c r="A23" s="104"/>
      <c r="B23" s="98"/>
      <c r="C23" s="99"/>
      <c r="D23" s="100"/>
    </row>
    <row r="24" spans="1:4" ht="140" customHeight="1" x14ac:dyDescent="0.45">
      <c r="A24" s="104"/>
      <c r="B24" s="101"/>
      <c r="C24" s="102"/>
      <c r="D24" s="103"/>
    </row>
    <row r="25" spans="1:4" ht="28" customHeight="1" x14ac:dyDescent="0.45">
      <c r="A25" s="78">
        <v>0.58333333333333337</v>
      </c>
      <c r="B25" s="4" t="s">
        <v>16</v>
      </c>
      <c r="C25" s="4" t="s">
        <v>8</v>
      </c>
      <c r="D25" s="84" t="s">
        <v>8</v>
      </c>
    </row>
    <row r="26" spans="1:4" ht="28" customHeight="1" x14ac:dyDescent="0.45">
      <c r="A26" s="78">
        <v>0.60416666666666663</v>
      </c>
      <c r="B26" s="3" t="s">
        <v>9</v>
      </c>
      <c r="C26" s="3" t="s">
        <v>10</v>
      </c>
      <c r="D26" s="80" t="s">
        <v>10</v>
      </c>
    </row>
    <row r="27" spans="1:4" ht="28" customHeight="1" x14ac:dyDescent="0.45">
      <c r="A27" s="78">
        <v>0.625</v>
      </c>
      <c r="B27" s="2" t="s">
        <v>17</v>
      </c>
      <c r="C27" s="2" t="s">
        <v>11</v>
      </c>
      <c r="D27" s="85" t="s">
        <v>11</v>
      </c>
    </row>
    <row r="28" spans="1:4" ht="28" customHeight="1" x14ac:dyDescent="0.45">
      <c r="A28" s="78">
        <v>0.64583333333333337</v>
      </c>
      <c r="B28" s="3" t="s">
        <v>2</v>
      </c>
      <c r="C28" s="3" t="s">
        <v>12</v>
      </c>
      <c r="D28" s="80" t="s">
        <v>12</v>
      </c>
    </row>
    <row r="29" spans="1:4" ht="28" customHeight="1" x14ac:dyDescent="0.45">
      <c r="A29" s="78">
        <v>0.66666666666666663</v>
      </c>
      <c r="B29" s="2" t="s">
        <v>20</v>
      </c>
      <c r="C29" s="2" t="s">
        <v>112</v>
      </c>
      <c r="D29" s="85" t="s">
        <v>13</v>
      </c>
    </row>
    <row r="30" spans="1:4" ht="28" customHeight="1" x14ac:dyDescent="0.45">
      <c r="A30" s="78">
        <v>0.77083333333333337</v>
      </c>
      <c r="B30" s="105" t="s">
        <v>23</v>
      </c>
      <c r="C30" s="5" t="s">
        <v>24</v>
      </c>
      <c r="D30" s="79" t="s">
        <v>24</v>
      </c>
    </row>
    <row r="31" spans="1:4" ht="28" customHeight="1" x14ac:dyDescent="0.45">
      <c r="A31" s="78">
        <v>0.79166666666666663</v>
      </c>
      <c r="B31" s="106"/>
      <c r="C31" s="3" t="s">
        <v>21</v>
      </c>
      <c r="D31" s="80" t="s">
        <v>21</v>
      </c>
    </row>
    <row r="32" spans="1:4" ht="28" customHeight="1" x14ac:dyDescent="0.45">
      <c r="A32" s="78">
        <v>0.8125</v>
      </c>
      <c r="B32" s="106"/>
      <c r="C32" s="5" t="s">
        <v>21</v>
      </c>
      <c r="D32" s="79" t="s">
        <v>21</v>
      </c>
    </row>
    <row r="33" spans="1:4" ht="28" customHeight="1" x14ac:dyDescent="0.45">
      <c r="A33" s="78">
        <v>0.83333333333333337</v>
      </c>
      <c r="B33" s="107"/>
      <c r="C33" s="3" t="s">
        <v>25</v>
      </c>
      <c r="D33" s="80" t="s">
        <v>25</v>
      </c>
    </row>
    <row r="34" spans="1:4" ht="28" customHeight="1" x14ac:dyDescent="0.45">
      <c r="A34" s="78">
        <v>0.85416666666666663</v>
      </c>
      <c r="B34" s="5" t="s">
        <v>26</v>
      </c>
      <c r="C34" s="5" t="s">
        <v>25</v>
      </c>
      <c r="D34" s="79" t="s">
        <v>25</v>
      </c>
    </row>
    <row r="35" spans="1:4" ht="28" customHeight="1" x14ac:dyDescent="0.45">
      <c r="A35" s="78">
        <v>0.875</v>
      </c>
      <c r="B35" s="3" t="s">
        <v>27</v>
      </c>
      <c r="C35" s="3"/>
      <c r="D35" s="80"/>
    </row>
    <row r="36" spans="1:4" ht="28" customHeight="1" x14ac:dyDescent="0.45">
      <c r="A36" s="78">
        <v>0.89583333333333337</v>
      </c>
      <c r="B36" s="5" t="s">
        <v>28</v>
      </c>
      <c r="C36" s="5"/>
      <c r="D36" s="79"/>
    </row>
    <row r="37" spans="1:4" ht="28" customHeight="1" x14ac:dyDescent="0.45">
      <c r="A37" s="86">
        <v>0.91666666666666663</v>
      </c>
      <c r="B37" s="87" t="s">
        <v>29</v>
      </c>
      <c r="C37" s="87"/>
      <c r="D37" s="88"/>
    </row>
    <row r="38" spans="1:4" x14ac:dyDescent="0.45">
      <c r="A38" s="1"/>
      <c r="B38" s="1"/>
      <c r="C38" s="1"/>
      <c r="D38" s="1"/>
    </row>
    <row r="39" spans="1:4" x14ac:dyDescent="0.45">
      <c r="A39" s="1"/>
      <c r="B39" s="1"/>
      <c r="C39" s="1"/>
      <c r="D39" s="1"/>
    </row>
    <row r="40" spans="1:4" x14ac:dyDescent="0.45">
      <c r="A40" s="1"/>
      <c r="B40" s="1"/>
      <c r="C40" s="1"/>
      <c r="D40" s="1"/>
    </row>
    <row r="41" spans="1:4" x14ac:dyDescent="0.45">
      <c r="A41" s="1"/>
      <c r="B41" s="1"/>
      <c r="C41" s="1"/>
      <c r="D41" s="1"/>
    </row>
    <row r="42" spans="1:4" x14ac:dyDescent="0.45">
      <c r="A42" s="1"/>
      <c r="B42" s="1"/>
      <c r="C42" s="1"/>
      <c r="D42" s="1"/>
    </row>
    <row r="43" spans="1:4" x14ac:dyDescent="0.45">
      <c r="A43" s="1"/>
      <c r="B43" s="1"/>
      <c r="C43" s="1"/>
      <c r="D43" s="1"/>
    </row>
    <row r="44" spans="1:4" x14ac:dyDescent="0.45">
      <c r="A44" s="1"/>
      <c r="B44" s="1"/>
      <c r="C44" s="1"/>
      <c r="D44" s="1"/>
    </row>
  </sheetData>
  <mergeCells count="9">
    <mergeCell ref="A1:D1"/>
    <mergeCell ref="A2:D2"/>
    <mergeCell ref="B22:D24"/>
    <mergeCell ref="A22:A24"/>
    <mergeCell ref="B30:B33"/>
    <mergeCell ref="C12:C15"/>
    <mergeCell ref="B8:B9"/>
    <mergeCell ref="B10:B16"/>
    <mergeCell ref="D13:D16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3C830-C743-4B11-B51C-64AC2281A1C4}">
  <dimension ref="B1:L42"/>
  <sheetViews>
    <sheetView topLeftCell="A6" zoomScale="85" zoomScaleNormal="85" workbookViewId="0">
      <selection activeCell="O14" sqref="O14"/>
    </sheetView>
  </sheetViews>
  <sheetFormatPr defaultRowHeight="17" x14ac:dyDescent="0.45"/>
  <cols>
    <col min="1" max="1" width="4.1640625" customWidth="1"/>
    <col min="2" max="6" width="15" customWidth="1"/>
    <col min="7" max="7" width="4.1640625" customWidth="1"/>
    <col min="8" max="12" width="15" customWidth="1"/>
    <col min="13" max="13" width="4.1640625" customWidth="1"/>
  </cols>
  <sheetData>
    <row r="1" spans="2:12" ht="17.5" thickBot="1" x14ac:dyDescent="0.5"/>
    <row r="2" spans="2:12" ht="30" customHeight="1" thickTop="1" x14ac:dyDescent="0.45">
      <c r="B2" s="150" t="s">
        <v>40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</row>
    <row r="3" spans="2:12" ht="30" customHeight="1" thickBot="1" x14ac:dyDescent="0.5">
      <c r="B3" s="151"/>
      <c r="C3" s="151"/>
      <c r="D3" s="151"/>
      <c r="E3" s="151"/>
      <c r="F3" s="151"/>
      <c r="G3" s="151"/>
      <c r="H3" s="151"/>
      <c r="I3" s="151"/>
      <c r="J3" s="151"/>
      <c r="K3" s="151"/>
      <c r="L3" s="151"/>
    </row>
    <row r="4" spans="2:12" ht="28" customHeight="1" thickTop="1" x14ac:dyDescent="0.45"/>
    <row r="5" spans="2:12" ht="28" customHeight="1" x14ac:dyDescent="0.45">
      <c r="B5" s="152" t="s">
        <v>41</v>
      </c>
      <c r="C5" s="152"/>
      <c r="D5" s="152"/>
      <c r="E5" s="152"/>
      <c r="F5" s="152"/>
      <c r="G5" s="152"/>
      <c r="H5" s="152"/>
      <c r="I5" s="152"/>
      <c r="J5" s="152"/>
      <c r="K5" s="152"/>
      <c r="L5" s="152"/>
    </row>
    <row r="6" spans="2:12" ht="40" customHeight="1" x14ac:dyDescent="0.45"/>
    <row r="7" spans="2:12" ht="35" customHeight="1" x14ac:dyDescent="0.45">
      <c r="B7" s="114" t="s">
        <v>71</v>
      </c>
      <c r="C7" s="114"/>
      <c r="D7" s="114"/>
      <c r="E7" s="114"/>
      <c r="F7" s="114"/>
      <c r="G7" s="114"/>
      <c r="H7" s="114"/>
      <c r="I7" s="114"/>
      <c r="J7" s="114"/>
      <c r="K7" s="114"/>
      <c r="L7" s="114"/>
    </row>
    <row r="8" spans="2:12" ht="35" customHeight="1" x14ac:dyDescent="0.45">
      <c r="C8" s="148" t="s">
        <v>77</v>
      </c>
      <c r="D8" s="148"/>
      <c r="E8" s="148"/>
      <c r="F8" s="148"/>
      <c r="G8" s="148"/>
      <c r="H8" s="148"/>
      <c r="I8" s="148"/>
      <c r="J8" s="148"/>
      <c r="K8" s="148"/>
      <c r="L8" s="148"/>
    </row>
    <row r="9" spans="2:12" ht="35" customHeight="1" x14ac:dyDescent="0.45">
      <c r="C9" s="148" t="s">
        <v>75</v>
      </c>
      <c r="D9" s="148"/>
      <c r="E9" s="148"/>
      <c r="F9" s="148"/>
      <c r="G9" s="148"/>
      <c r="H9" s="148"/>
      <c r="I9" s="148"/>
      <c r="J9" s="148"/>
      <c r="K9" s="148"/>
      <c r="L9" s="148"/>
    </row>
    <row r="10" spans="2:12" ht="22" customHeight="1" x14ac:dyDescent="0.45">
      <c r="C10" s="148" t="s">
        <v>76</v>
      </c>
      <c r="D10" s="148"/>
      <c r="E10" s="148"/>
      <c r="F10" s="148"/>
      <c r="G10" s="148"/>
      <c r="H10" s="148"/>
      <c r="I10" s="148"/>
      <c r="J10" s="148"/>
      <c r="K10" s="148"/>
      <c r="L10" s="148"/>
    </row>
    <row r="11" spans="2:12" ht="22" customHeight="1" x14ac:dyDescent="0.45"/>
    <row r="12" spans="2:12" ht="17.5" x14ac:dyDescent="0.45">
      <c r="B12" s="114" t="s">
        <v>42</v>
      </c>
      <c r="C12" s="114"/>
      <c r="D12" s="114"/>
      <c r="E12" s="114"/>
      <c r="F12" s="114"/>
      <c r="G12" s="114"/>
      <c r="H12" s="114"/>
      <c r="I12" s="114"/>
      <c r="J12" s="114"/>
      <c r="K12" s="114"/>
      <c r="L12" s="114"/>
    </row>
    <row r="13" spans="2:12" ht="25" customHeight="1" x14ac:dyDescent="0.45">
      <c r="B13" s="114" t="s">
        <v>72</v>
      </c>
      <c r="C13" s="114"/>
      <c r="D13" s="114"/>
      <c r="E13" s="114"/>
      <c r="F13" s="114"/>
      <c r="G13" s="114"/>
      <c r="H13" s="114"/>
      <c r="I13" s="114"/>
      <c r="J13" s="114"/>
      <c r="K13" s="114"/>
      <c r="L13" s="114"/>
    </row>
    <row r="14" spans="2:12" ht="25" customHeight="1" x14ac:dyDescent="0.45">
      <c r="B14" s="149" t="s">
        <v>73</v>
      </c>
      <c r="C14" s="149"/>
      <c r="D14" s="149"/>
      <c r="E14" s="149"/>
      <c r="F14" s="149"/>
      <c r="G14" s="149"/>
      <c r="H14" s="149"/>
      <c r="I14" s="149"/>
      <c r="J14" s="149"/>
      <c r="K14" s="149"/>
      <c r="L14" s="149"/>
    </row>
    <row r="15" spans="2:12" ht="25" customHeight="1" x14ac:dyDescent="0.45">
      <c r="B15" s="114" t="s">
        <v>78</v>
      </c>
      <c r="C15" s="114"/>
      <c r="D15" s="114"/>
      <c r="E15" s="114"/>
      <c r="F15" s="114"/>
      <c r="G15" s="114"/>
      <c r="H15" s="114"/>
      <c r="I15" s="114"/>
      <c r="J15" s="114"/>
      <c r="K15" s="114"/>
      <c r="L15" s="114"/>
    </row>
    <row r="16" spans="2:12" ht="17.5" thickBot="1" x14ac:dyDescent="0.5"/>
    <row r="17" spans="2:12" ht="30" customHeight="1" x14ac:dyDescent="0.45">
      <c r="B17" s="133" t="s">
        <v>43</v>
      </c>
      <c r="C17" s="134"/>
      <c r="D17" s="134"/>
      <c r="E17" s="134"/>
      <c r="F17" s="135"/>
      <c r="H17" s="133" t="s">
        <v>49</v>
      </c>
      <c r="I17" s="134"/>
      <c r="J17" s="134"/>
      <c r="K17" s="134"/>
      <c r="L17" s="135"/>
    </row>
    <row r="18" spans="2:12" ht="22" customHeight="1" x14ac:dyDescent="0.45">
      <c r="B18" s="136" t="s">
        <v>44</v>
      </c>
      <c r="C18" s="137"/>
      <c r="D18" s="137"/>
      <c r="E18" s="137"/>
      <c r="F18" s="138"/>
      <c r="H18" s="136" t="s">
        <v>50</v>
      </c>
      <c r="I18" s="137"/>
      <c r="J18" s="137"/>
      <c r="K18" s="137"/>
      <c r="L18" s="138"/>
    </row>
    <row r="19" spans="2:12" ht="22" customHeight="1" x14ac:dyDescent="0.45">
      <c r="B19" s="127" t="s">
        <v>45</v>
      </c>
      <c r="C19" s="128"/>
      <c r="D19" s="128"/>
      <c r="E19" s="128"/>
      <c r="F19" s="129"/>
      <c r="H19" s="12"/>
      <c r="L19" s="13"/>
    </row>
    <row r="20" spans="2:12" ht="22" customHeight="1" x14ac:dyDescent="0.45">
      <c r="B20" s="12"/>
      <c r="F20" s="13"/>
      <c r="H20" s="136" t="s">
        <v>51</v>
      </c>
      <c r="I20" s="137"/>
      <c r="J20" s="137"/>
      <c r="K20" s="137"/>
      <c r="L20" s="138"/>
    </row>
    <row r="21" spans="2:12" ht="22" customHeight="1" x14ac:dyDescent="0.45">
      <c r="B21" s="136" t="s">
        <v>46</v>
      </c>
      <c r="C21" s="137"/>
      <c r="D21" s="137"/>
      <c r="E21" s="137"/>
      <c r="F21" s="138"/>
      <c r="H21" s="127" t="s">
        <v>52</v>
      </c>
      <c r="I21" s="128"/>
      <c r="J21" s="128"/>
      <c r="K21" s="128"/>
      <c r="L21" s="129"/>
    </row>
    <row r="22" spans="2:12" ht="22" customHeight="1" x14ac:dyDescent="0.45">
      <c r="B22" s="12"/>
      <c r="F22" s="13"/>
      <c r="H22" s="12"/>
      <c r="L22" s="13"/>
    </row>
    <row r="23" spans="2:12" ht="22" customHeight="1" x14ac:dyDescent="0.45">
      <c r="B23" s="136" t="s">
        <v>47</v>
      </c>
      <c r="C23" s="137"/>
      <c r="D23" s="137"/>
      <c r="E23" s="137"/>
      <c r="F23" s="138"/>
      <c r="H23" s="136" t="s">
        <v>53</v>
      </c>
      <c r="I23" s="137"/>
      <c r="J23" s="137"/>
      <c r="K23" s="137"/>
      <c r="L23" s="138"/>
    </row>
    <row r="24" spans="2:12" ht="22" customHeight="1" x14ac:dyDescent="0.45">
      <c r="B24" s="127" t="s">
        <v>79</v>
      </c>
      <c r="C24" s="128"/>
      <c r="D24" s="128"/>
      <c r="E24" s="128"/>
      <c r="F24" s="129"/>
      <c r="H24" s="139" t="s">
        <v>54</v>
      </c>
      <c r="I24" s="140"/>
      <c r="J24" s="140"/>
      <c r="K24" s="140"/>
      <c r="L24" s="141"/>
    </row>
    <row r="25" spans="2:12" ht="22" customHeight="1" x14ac:dyDescent="0.45">
      <c r="B25" s="12"/>
      <c r="F25" s="13"/>
      <c r="H25" s="12"/>
      <c r="L25" s="13"/>
    </row>
    <row r="26" spans="2:12" ht="22" customHeight="1" thickBot="1" x14ac:dyDescent="0.5">
      <c r="B26" s="130" t="s">
        <v>48</v>
      </c>
      <c r="C26" s="131"/>
      <c r="D26" s="131"/>
      <c r="E26" s="131"/>
      <c r="F26" s="132"/>
      <c r="H26" s="142" t="s">
        <v>55</v>
      </c>
      <c r="I26" s="143"/>
      <c r="J26" s="143"/>
      <c r="K26" s="143"/>
      <c r="L26" s="144"/>
    </row>
    <row r="27" spans="2:12" ht="22" customHeight="1" x14ac:dyDescent="0.45"/>
    <row r="28" spans="2:12" ht="22" customHeight="1" x14ac:dyDescent="0.45">
      <c r="B28" s="145" t="s">
        <v>56</v>
      </c>
      <c r="C28" s="146"/>
      <c r="D28" s="146"/>
      <c r="E28" s="146"/>
      <c r="F28" s="147"/>
      <c r="H28" s="145" t="s">
        <v>57</v>
      </c>
      <c r="I28" s="146"/>
      <c r="J28" s="146"/>
      <c r="K28" s="146"/>
      <c r="L28" s="147"/>
    </row>
    <row r="30" spans="2:12" x14ac:dyDescent="0.45">
      <c r="B30" s="137" t="s">
        <v>74</v>
      </c>
      <c r="C30" s="137"/>
      <c r="D30" s="137"/>
      <c r="E30" s="137"/>
      <c r="F30" s="137"/>
      <c r="G30" s="137"/>
      <c r="H30" s="137"/>
      <c r="I30" s="137"/>
      <c r="J30" s="137"/>
      <c r="K30" s="137"/>
      <c r="L30" s="137"/>
    </row>
    <row r="32" spans="2:12" ht="22" customHeight="1" x14ac:dyDescent="0.45">
      <c r="B32" s="140" t="s">
        <v>58</v>
      </c>
      <c r="C32" s="140"/>
      <c r="D32" s="140"/>
      <c r="E32" s="140"/>
      <c r="F32" s="140"/>
      <c r="G32" s="140"/>
      <c r="H32" s="140"/>
      <c r="I32" s="140"/>
      <c r="J32" s="140"/>
      <c r="K32" s="140"/>
      <c r="L32" s="140"/>
    </row>
    <row r="33" spans="2:12" ht="22" customHeight="1" x14ac:dyDescent="0.45"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</row>
    <row r="35" spans="2:12" ht="17.5" x14ac:dyDescent="0.45">
      <c r="B35" s="114" t="s">
        <v>59</v>
      </c>
      <c r="C35" s="114"/>
      <c r="D35" s="114"/>
      <c r="E35" s="114"/>
      <c r="F35" s="114"/>
      <c r="G35" s="114"/>
      <c r="H35" s="114"/>
      <c r="I35" s="114"/>
      <c r="J35" s="114"/>
      <c r="K35" s="114"/>
      <c r="L35" s="114"/>
    </row>
    <row r="37" spans="2:12" ht="25" customHeight="1" x14ac:dyDescent="0.45">
      <c r="B37" s="124" t="s">
        <v>60</v>
      </c>
      <c r="C37" s="125"/>
      <c r="D37" s="125"/>
      <c r="E37" s="125"/>
      <c r="F37" s="125"/>
      <c r="G37" s="14"/>
      <c r="H37" s="125" t="s">
        <v>61</v>
      </c>
      <c r="I37" s="125"/>
      <c r="J37" s="125"/>
      <c r="K37" s="125"/>
      <c r="L37" s="126"/>
    </row>
    <row r="38" spans="2:12" ht="50" customHeight="1" x14ac:dyDescent="0.45">
      <c r="B38" s="115" t="s">
        <v>62</v>
      </c>
      <c r="C38" s="116"/>
      <c r="D38" s="116"/>
      <c r="E38" s="116"/>
      <c r="F38" s="116"/>
      <c r="G38" s="14"/>
      <c r="H38" s="117" t="s">
        <v>63</v>
      </c>
      <c r="I38" s="117"/>
      <c r="J38" s="117"/>
      <c r="K38" s="117"/>
      <c r="L38" s="118"/>
    </row>
    <row r="39" spans="2:12" ht="50" customHeight="1" x14ac:dyDescent="0.45">
      <c r="B39" s="115" t="s">
        <v>64</v>
      </c>
      <c r="C39" s="116"/>
      <c r="D39" s="116"/>
      <c r="E39" s="116"/>
      <c r="F39" s="116"/>
      <c r="G39" s="14"/>
      <c r="H39" s="116" t="s">
        <v>65</v>
      </c>
      <c r="I39" s="116"/>
      <c r="J39" s="116"/>
      <c r="K39" s="116"/>
      <c r="L39" s="123"/>
    </row>
    <row r="40" spans="2:12" ht="50" customHeight="1" x14ac:dyDescent="0.45">
      <c r="B40" s="115" t="s">
        <v>66</v>
      </c>
      <c r="C40" s="116"/>
      <c r="D40" s="116"/>
      <c r="E40" s="116"/>
      <c r="F40" s="116"/>
      <c r="G40" s="14"/>
      <c r="H40" s="116" t="s">
        <v>65</v>
      </c>
      <c r="I40" s="116"/>
      <c r="J40" s="116"/>
      <c r="K40" s="116"/>
      <c r="L40" s="123"/>
    </row>
    <row r="41" spans="2:12" ht="50" customHeight="1" x14ac:dyDescent="0.45">
      <c r="B41" s="115" t="s">
        <v>67</v>
      </c>
      <c r="C41" s="116"/>
      <c r="D41" s="116"/>
      <c r="E41" s="116"/>
      <c r="F41" s="116"/>
      <c r="G41" s="14"/>
      <c r="H41" s="117" t="s">
        <v>68</v>
      </c>
      <c r="I41" s="117"/>
      <c r="J41" s="117"/>
      <c r="K41" s="117"/>
      <c r="L41" s="118"/>
    </row>
    <row r="42" spans="2:12" ht="50" customHeight="1" x14ac:dyDescent="0.45">
      <c r="B42" s="119" t="s">
        <v>69</v>
      </c>
      <c r="C42" s="120"/>
      <c r="D42" s="120"/>
      <c r="E42" s="120"/>
      <c r="F42" s="120"/>
      <c r="G42" s="15"/>
      <c r="H42" s="121" t="s">
        <v>70</v>
      </c>
      <c r="I42" s="121"/>
      <c r="J42" s="121"/>
      <c r="K42" s="121"/>
      <c r="L42" s="122"/>
    </row>
  </sheetData>
  <mergeCells count="41">
    <mergeCell ref="C10:L10"/>
    <mergeCell ref="B12:L12"/>
    <mergeCell ref="B13:L13"/>
    <mergeCell ref="B14:L14"/>
    <mergeCell ref="B2:L3"/>
    <mergeCell ref="B5:L5"/>
    <mergeCell ref="B7:L7"/>
    <mergeCell ref="C8:L8"/>
    <mergeCell ref="C9:L9"/>
    <mergeCell ref="B28:F28"/>
    <mergeCell ref="H28:L28"/>
    <mergeCell ref="B30:L30"/>
    <mergeCell ref="B32:L33"/>
    <mergeCell ref="B15:L15"/>
    <mergeCell ref="B17:F17"/>
    <mergeCell ref="B18:F18"/>
    <mergeCell ref="B19:F19"/>
    <mergeCell ref="B21:F21"/>
    <mergeCell ref="B24:F24"/>
    <mergeCell ref="B26:F26"/>
    <mergeCell ref="H17:L17"/>
    <mergeCell ref="H18:L18"/>
    <mergeCell ref="H20:L20"/>
    <mergeCell ref="H21:L21"/>
    <mergeCell ref="H23:L23"/>
    <mergeCell ref="H24:L24"/>
    <mergeCell ref="H26:L26"/>
    <mergeCell ref="B23:F23"/>
    <mergeCell ref="B35:L35"/>
    <mergeCell ref="B41:F41"/>
    <mergeCell ref="H41:L41"/>
    <mergeCell ref="B42:F42"/>
    <mergeCell ref="H42:L42"/>
    <mergeCell ref="B38:F38"/>
    <mergeCell ref="H38:L38"/>
    <mergeCell ref="B39:F39"/>
    <mergeCell ref="H39:L39"/>
    <mergeCell ref="B40:F40"/>
    <mergeCell ref="H40:L40"/>
    <mergeCell ref="B37:F37"/>
    <mergeCell ref="H37:L37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69E45-2B06-4E19-A566-A7CDC6663246}">
  <dimension ref="A1:H259"/>
  <sheetViews>
    <sheetView workbookViewId="0">
      <selection activeCell="E11" sqref="E11"/>
    </sheetView>
  </sheetViews>
  <sheetFormatPr defaultRowHeight="17" x14ac:dyDescent="0.45"/>
  <cols>
    <col min="1" max="1" width="5.83203125" customWidth="1"/>
    <col min="2" max="2" width="18.33203125" customWidth="1"/>
    <col min="3" max="3" width="10.83203125" customWidth="1"/>
    <col min="4" max="4" width="11.6640625" customWidth="1"/>
    <col min="5" max="5" width="20" customWidth="1"/>
    <col min="6" max="6" width="18.33203125" customWidth="1"/>
    <col min="7" max="7" width="21.6640625" customWidth="1"/>
    <col min="8" max="8" width="23.33203125" customWidth="1"/>
  </cols>
  <sheetData>
    <row r="1" spans="1:8" ht="30" customHeight="1" x14ac:dyDescent="0.45">
      <c r="A1" s="154" t="s">
        <v>100</v>
      </c>
      <c r="B1" s="154"/>
      <c r="C1" s="154"/>
      <c r="D1" s="154"/>
      <c r="E1" s="154"/>
      <c r="F1" s="154"/>
      <c r="G1" s="154"/>
      <c r="H1" s="154"/>
    </row>
    <row r="2" spans="1:8" ht="30" customHeight="1" x14ac:dyDescent="0.45">
      <c r="A2" s="154"/>
      <c r="B2" s="154"/>
      <c r="C2" s="154"/>
      <c r="D2" s="154"/>
      <c r="E2" s="154"/>
      <c r="F2" s="154"/>
      <c r="G2" s="154"/>
      <c r="H2" s="154"/>
    </row>
    <row r="3" spans="1:8" ht="17.5" thickBot="1" x14ac:dyDescent="0.5"/>
    <row r="4" spans="1:8" ht="26" customHeight="1" x14ac:dyDescent="0.45">
      <c r="A4" s="40" t="s">
        <v>83</v>
      </c>
      <c r="B4" s="41" t="s">
        <v>81</v>
      </c>
      <c r="C4" s="41" t="s">
        <v>82</v>
      </c>
      <c r="D4" s="155" t="s">
        <v>93</v>
      </c>
      <c r="E4" s="155"/>
      <c r="F4" s="42" t="s">
        <v>91</v>
      </c>
      <c r="G4" s="156" t="s">
        <v>94</v>
      </c>
      <c r="H4" s="157"/>
    </row>
    <row r="5" spans="1:8" ht="32" customHeight="1" thickBot="1" x14ac:dyDescent="0.5">
      <c r="A5" s="43">
        <f>COUNTIFS(B10:B500,"&lt;&gt;")</f>
        <v>1</v>
      </c>
      <c r="B5" s="44">
        <f>SUM(C10:C500)</f>
        <v>1</v>
      </c>
      <c r="C5" s="45">
        <f>SUM(D10:D500)</f>
        <v>1</v>
      </c>
      <c r="D5" s="158">
        <f>SUM(E10:E500)</f>
        <v>100000</v>
      </c>
      <c r="E5" s="158"/>
      <c r="F5" s="46">
        <f>C5*65000</f>
        <v>65000</v>
      </c>
      <c r="G5" s="159">
        <f>D5-F5</f>
        <v>35000</v>
      </c>
      <c r="H5" s="160"/>
    </row>
    <row r="7" spans="1:8" x14ac:dyDescent="0.45">
      <c r="A7" s="153" t="s">
        <v>104</v>
      </c>
      <c r="B7" s="153"/>
      <c r="C7" s="153"/>
      <c r="D7" s="153"/>
      <c r="E7" s="153"/>
      <c r="F7" s="153"/>
      <c r="G7" s="153"/>
      <c r="H7" s="153"/>
    </row>
    <row r="8" spans="1:8" ht="17.5" thickBot="1" x14ac:dyDescent="0.5"/>
    <row r="9" spans="1:8" ht="28" customHeight="1" x14ac:dyDescent="0.45">
      <c r="A9" s="21" t="s">
        <v>87</v>
      </c>
      <c r="B9" s="22" t="s">
        <v>88</v>
      </c>
      <c r="C9" s="22" t="s">
        <v>81</v>
      </c>
      <c r="D9" s="22" t="s">
        <v>89</v>
      </c>
      <c r="E9" s="22" t="s">
        <v>105</v>
      </c>
      <c r="F9" s="22" t="s">
        <v>91</v>
      </c>
      <c r="G9" s="22" t="s">
        <v>95</v>
      </c>
      <c r="H9" s="23" t="s">
        <v>90</v>
      </c>
    </row>
    <row r="10" spans="1:8" x14ac:dyDescent="0.45">
      <c r="A10" s="24">
        <f>IF(B10="","",ROW()-9)</f>
        <v>1</v>
      </c>
      <c r="B10" s="29" t="s">
        <v>102</v>
      </c>
      <c r="C10" s="25">
        <v>1</v>
      </c>
      <c r="D10" s="26">
        <v>1</v>
      </c>
      <c r="E10" s="27">
        <v>100000</v>
      </c>
      <c r="F10" s="37">
        <f>IF(B10="","",D10*65000)</f>
        <v>65000</v>
      </c>
      <c r="G10" s="38">
        <f>IF(B10="","",E10-F10)</f>
        <v>35000</v>
      </c>
      <c r="H10" s="28"/>
    </row>
    <row r="11" spans="1:8" x14ac:dyDescent="0.45">
      <c r="A11" s="47" t="str">
        <f t="shared" ref="A11:A74" si="0">IF(B11="","",ROW()-9)</f>
        <v/>
      </c>
      <c r="B11" s="48"/>
      <c r="C11" s="49"/>
      <c r="D11" s="50"/>
      <c r="E11" s="51"/>
      <c r="F11" s="52" t="str">
        <f t="shared" ref="F11:F74" si="1">IF(B11="","",D11*65000)</f>
        <v/>
      </c>
      <c r="G11" s="53" t="str">
        <f t="shared" ref="G11:G74" si="2">IF(B11="","",E11-F11)</f>
        <v/>
      </c>
      <c r="H11" s="54"/>
    </row>
    <row r="12" spans="1:8" x14ac:dyDescent="0.45">
      <c r="A12" s="24" t="str">
        <f t="shared" si="0"/>
        <v/>
      </c>
      <c r="B12" s="29"/>
      <c r="C12" s="25"/>
      <c r="D12" s="26"/>
      <c r="E12" s="27"/>
      <c r="F12" s="37" t="str">
        <f t="shared" si="1"/>
        <v/>
      </c>
      <c r="G12" s="38" t="str">
        <f t="shared" si="2"/>
        <v/>
      </c>
      <c r="H12" s="28"/>
    </row>
    <row r="13" spans="1:8" x14ac:dyDescent="0.45">
      <c r="A13" s="47" t="str">
        <f t="shared" si="0"/>
        <v/>
      </c>
      <c r="B13" s="48"/>
      <c r="C13" s="49"/>
      <c r="D13" s="50"/>
      <c r="E13" s="51"/>
      <c r="F13" s="52" t="str">
        <f t="shared" si="1"/>
        <v/>
      </c>
      <c r="G13" s="53" t="str">
        <f t="shared" si="2"/>
        <v/>
      </c>
      <c r="H13" s="54"/>
    </row>
    <row r="14" spans="1:8" x14ac:dyDescent="0.45">
      <c r="A14" s="24" t="str">
        <f t="shared" si="0"/>
        <v/>
      </c>
      <c r="B14" s="29"/>
      <c r="C14" s="25"/>
      <c r="D14" s="26"/>
      <c r="E14" s="27"/>
      <c r="F14" s="37" t="str">
        <f t="shared" si="1"/>
        <v/>
      </c>
      <c r="G14" s="38" t="str">
        <f t="shared" si="2"/>
        <v/>
      </c>
      <c r="H14" s="28"/>
    </row>
    <row r="15" spans="1:8" x14ac:dyDescent="0.45">
      <c r="A15" s="47" t="str">
        <f t="shared" si="0"/>
        <v/>
      </c>
      <c r="B15" s="48"/>
      <c r="C15" s="49"/>
      <c r="D15" s="50"/>
      <c r="E15" s="51"/>
      <c r="F15" s="52" t="str">
        <f t="shared" si="1"/>
        <v/>
      </c>
      <c r="G15" s="53" t="str">
        <f t="shared" si="2"/>
        <v/>
      </c>
      <c r="H15" s="54"/>
    </row>
    <row r="16" spans="1:8" x14ac:dyDescent="0.45">
      <c r="A16" s="24" t="str">
        <f t="shared" si="0"/>
        <v/>
      </c>
      <c r="B16" s="29"/>
      <c r="C16" s="25"/>
      <c r="D16" s="26"/>
      <c r="E16" s="27"/>
      <c r="F16" s="37" t="str">
        <f t="shared" si="1"/>
        <v/>
      </c>
      <c r="G16" s="38" t="str">
        <f t="shared" si="2"/>
        <v/>
      </c>
      <c r="H16" s="28"/>
    </row>
    <row r="17" spans="1:8" x14ac:dyDescent="0.45">
      <c r="A17" s="47" t="str">
        <f t="shared" si="0"/>
        <v/>
      </c>
      <c r="B17" s="48"/>
      <c r="C17" s="49"/>
      <c r="D17" s="50"/>
      <c r="E17" s="51"/>
      <c r="F17" s="52" t="str">
        <f t="shared" si="1"/>
        <v/>
      </c>
      <c r="G17" s="53" t="str">
        <f t="shared" si="2"/>
        <v/>
      </c>
      <c r="H17" s="54"/>
    </row>
    <row r="18" spans="1:8" x14ac:dyDescent="0.45">
      <c r="A18" s="24" t="str">
        <f t="shared" si="0"/>
        <v/>
      </c>
      <c r="B18" s="29"/>
      <c r="C18" s="25"/>
      <c r="D18" s="26"/>
      <c r="E18" s="27"/>
      <c r="F18" s="37" t="str">
        <f t="shared" si="1"/>
        <v/>
      </c>
      <c r="G18" s="38" t="str">
        <f t="shared" si="2"/>
        <v/>
      </c>
      <c r="H18" s="28"/>
    </row>
    <row r="19" spans="1:8" x14ac:dyDescent="0.45">
      <c r="A19" s="47" t="str">
        <f t="shared" si="0"/>
        <v/>
      </c>
      <c r="B19" s="48"/>
      <c r="C19" s="49"/>
      <c r="D19" s="50"/>
      <c r="E19" s="51"/>
      <c r="F19" s="52" t="str">
        <f t="shared" si="1"/>
        <v/>
      </c>
      <c r="G19" s="53" t="str">
        <f t="shared" si="2"/>
        <v/>
      </c>
      <c r="H19" s="54"/>
    </row>
    <row r="20" spans="1:8" x14ac:dyDescent="0.45">
      <c r="A20" s="24" t="str">
        <f t="shared" si="0"/>
        <v/>
      </c>
      <c r="B20" s="29"/>
      <c r="C20" s="25"/>
      <c r="D20" s="26"/>
      <c r="E20" s="27"/>
      <c r="F20" s="37" t="str">
        <f t="shared" si="1"/>
        <v/>
      </c>
      <c r="G20" s="38" t="str">
        <f t="shared" si="2"/>
        <v/>
      </c>
      <c r="H20" s="28"/>
    </row>
    <row r="21" spans="1:8" x14ac:dyDescent="0.45">
      <c r="A21" s="47" t="str">
        <f t="shared" si="0"/>
        <v/>
      </c>
      <c r="B21" s="48"/>
      <c r="C21" s="49"/>
      <c r="D21" s="50"/>
      <c r="E21" s="51"/>
      <c r="F21" s="52" t="str">
        <f t="shared" si="1"/>
        <v/>
      </c>
      <c r="G21" s="53" t="str">
        <f t="shared" si="2"/>
        <v/>
      </c>
      <c r="H21" s="54"/>
    </row>
    <row r="22" spans="1:8" x14ac:dyDescent="0.45">
      <c r="A22" s="24" t="str">
        <f t="shared" si="0"/>
        <v/>
      </c>
      <c r="B22" s="29"/>
      <c r="C22" s="25"/>
      <c r="D22" s="26"/>
      <c r="E22" s="27"/>
      <c r="F22" s="37" t="str">
        <f t="shared" si="1"/>
        <v/>
      </c>
      <c r="G22" s="38" t="str">
        <f t="shared" si="2"/>
        <v/>
      </c>
      <c r="H22" s="28"/>
    </row>
    <row r="23" spans="1:8" x14ac:dyDescent="0.45">
      <c r="A23" s="47" t="str">
        <f t="shared" si="0"/>
        <v/>
      </c>
      <c r="B23" s="48"/>
      <c r="C23" s="49"/>
      <c r="D23" s="50"/>
      <c r="E23" s="51"/>
      <c r="F23" s="52" t="str">
        <f t="shared" si="1"/>
        <v/>
      </c>
      <c r="G23" s="53" t="str">
        <f t="shared" si="2"/>
        <v/>
      </c>
      <c r="H23" s="54"/>
    </row>
    <row r="24" spans="1:8" x14ac:dyDescent="0.45">
      <c r="A24" s="24" t="str">
        <f t="shared" si="0"/>
        <v/>
      </c>
      <c r="B24" s="29"/>
      <c r="C24" s="25"/>
      <c r="D24" s="26"/>
      <c r="E24" s="27"/>
      <c r="F24" s="37" t="str">
        <f t="shared" si="1"/>
        <v/>
      </c>
      <c r="G24" s="38" t="str">
        <f t="shared" si="2"/>
        <v/>
      </c>
      <c r="H24" s="28"/>
    </row>
    <row r="25" spans="1:8" x14ac:dyDescent="0.45">
      <c r="A25" s="47" t="str">
        <f t="shared" si="0"/>
        <v/>
      </c>
      <c r="B25" s="48"/>
      <c r="C25" s="49"/>
      <c r="D25" s="50"/>
      <c r="E25" s="51"/>
      <c r="F25" s="52" t="str">
        <f t="shared" si="1"/>
        <v/>
      </c>
      <c r="G25" s="53" t="str">
        <f t="shared" si="2"/>
        <v/>
      </c>
      <c r="H25" s="54"/>
    </row>
    <row r="26" spans="1:8" x14ac:dyDescent="0.45">
      <c r="A26" s="24" t="str">
        <f t="shared" si="0"/>
        <v/>
      </c>
      <c r="B26" s="29"/>
      <c r="C26" s="25"/>
      <c r="D26" s="26"/>
      <c r="E26" s="27"/>
      <c r="F26" s="37" t="str">
        <f t="shared" si="1"/>
        <v/>
      </c>
      <c r="G26" s="38" t="str">
        <f t="shared" si="2"/>
        <v/>
      </c>
      <c r="H26" s="28"/>
    </row>
    <row r="27" spans="1:8" x14ac:dyDescent="0.45">
      <c r="A27" s="47" t="str">
        <f t="shared" si="0"/>
        <v/>
      </c>
      <c r="B27" s="48"/>
      <c r="C27" s="49"/>
      <c r="D27" s="50"/>
      <c r="E27" s="51"/>
      <c r="F27" s="52" t="str">
        <f t="shared" si="1"/>
        <v/>
      </c>
      <c r="G27" s="53" t="str">
        <f t="shared" si="2"/>
        <v/>
      </c>
      <c r="H27" s="54"/>
    </row>
    <row r="28" spans="1:8" x14ac:dyDescent="0.45">
      <c r="A28" s="24" t="str">
        <f t="shared" si="0"/>
        <v/>
      </c>
      <c r="B28" s="29"/>
      <c r="C28" s="25"/>
      <c r="D28" s="26"/>
      <c r="E28" s="27"/>
      <c r="F28" s="37" t="str">
        <f t="shared" si="1"/>
        <v/>
      </c>
      <c r="G28" s="38" t="str">
        <f t="shared" si="2"/>
        <v/>
      </c>
      <c r="H28" s="28"/>
    </row>
    <row r="29" spans="1:8" x14ac:dyDescent="0.45">
      <c r="A29" s="47" t="str">
        <f t="shared" si="0"/>
        <v/>
      </c>
      <c r="B29" s="48"/>
      <c r="C29" s="49"/>
      <c r="D29" s="50"/>
      <c r="E29" s="51"/>
      <c r="F29" s="52" t="str">
        <f t="shared" si="1"/>
        <v/>
      </c>
      <c r="G29" s="53" t="str">
        <f t="shared" si="2"/>
        <v/>
      </c>
      <c r="H29" s="54"/>
    </row>
    <row r="30" spans="1:8" x14ac:dyDescent="0.45">
      <c r="A30" s="24" t="str">
        <f t="shared" si="0"/>
        <v/>
      </c>
      <c r="B30" s="29"/>
      <c r="C30" s="25"/>
      <c r="D30" s="26"/>
      <c r="E30" s="27"/>
      <c r="F30" s="37" t="str">
        <f t="shared" si="1"/>
        <v/>
      </c>
      <c r="G30" s="38" t="str">
        <f t="shared" si="2"/>
        <v/>
      </c>
      <c r="H30" s="28"/>
    </row>
    <row r="31" spans="1:8" x14ac:dyDescent="0.45">
      <c r="A31" s="47" t="str">
        <f t="shared" si="0"/>
        <v/>
      </c>
      <c r="B31" s="48"/>
      <c r="C31" s="49"/>
      <c r="D31" s="50"/>
      <c r="E31" s="51"/>
      <c r="F31" s="52" t="str">
        <f t="shared" si="1"/>
        <v/>
      </c>
      <c r="G31" s="53" t="str">
        <f t="shared" si="2"/>
        <v/>
      </c>
      <c r="H31" s="54"/>
    </row>
    <row r="32" spans="1:8" x14ac:dyDescent="0.45">
      <c r="A32" s="24" t="str">
        <f t="shared" si="0"/>
        <v/>
      </c>
      <c r="B32" s="29"/>
      <c r="C32" s="25"/>
      <c r="D32" s="26"/>
      <c r="E32" s="27"/>
      <c r="F32" s="37" t="str">
        <f t="shared" si="1"/>
        <v/>
      </c>
      <c r="G32" s="38" t="str">
        <f t="shared" si="2"/>
        <v/>
      </c>
      <c r="H32" s="28"/>
    </row>
    <row r="33" spans="1:8" x14ac:dyDescent="0.45">
      <c r="A33" s="47" t="str">
        <f t="shared" si="0"/>
        <v/>
      </c>
      <c r="B33" s="48"/>
      <c r="C33" s="49"/>
      <c r="D33" s="50"/>
      <c r="E33" s="51"/>
      <c r="F33" s="52" t="str">
        <f t="shared" si="1"/>
        <v/>
      </c>
      <c r="G33" s="53" t="str">
        <f t="shared" si="2"/>
        <v/>
      </c>
      <c r="H33" s="54"/>
    </row>
    <row r="34" spans="1:8" x14ac:dyDescent="0.45">
      <c r="A34" s="24" t="str">
        <f t="shared" si="0"/>
        <v/>
      </c>
      <c r="B34" s="29"/>
      <c r="C34" s="25"/>
      <c r="D34" s="26"/>
      <c r="E34" s="27"/>
      <c r="F34" s="37" t="str">
        <f t="shared" si="1"/>
        <v/>
      </c>
      <c r="G34" s="38" t="str">
        <f t="shared" si="2"/>
        <v/>
      </c>
      <c r="H34" s="28"/>
    </row>
    <row r="35" spans="1:8" x14ac:dyDescent="0.45">
      <c r="A35" s="47" t="str">
        <f t="shared" si="0"/>
        <v/>
      </c>
      <c r="B35" s="48"/>
      <c r="C35" s="49"/>
      <c r="D35" s="50"/>
      <c r="E35" s="51"/>
      <c r="F35" s="52" t="str">
        <f t="shared" si="1"/>
        <v/>
      </c>
      <c r="G35" s="53" t="str">
        <f t="shared" si="2"/>
        <v/>
      </c>
      <c r="H35" s="54"/>
    </row>
    <row r="36" spans="1:8" x14ac:dyDescent="0.45">
      <c r="A36" s="24" t="str">
        <f t="shared" si="0"/>
        <v/>
      </c>
      <c r="B36" s="29"/>
      <c r="C36" s="25"/>
      <c r="D36" s="26"/>
      <c r="E36" s="27"/>
      <c r="F36" s="37" t="str">
        <f t="shared" si="1"/>
        <v/>
      </c>
      <c r="G36" s="38" t="str">
        <f t="shared" si="2"/>
        <v/>
      </c>
      <c r="H36" s="28"/>
    </row>
    <row r="37" spans="1:8" x14ac:dyDescent="0.45">
      <c r="A37" s="47" t="str">
        <f t="shared" si="0"/>
        <v/>
      </c>
      <c r="B37" s="48"/>
      <c r="C37" s="49"/>
      <c r="D37" s="50"/>
      <c r="E37" s="51"/>
      <c r="F37" s="52" t="str">
        <f t="shared" si="1"/>
        <v/>
      </c>
      <c r="G37" s="53" t="str">
        <f t="shared" si="2"/>
        <v/>
      </c>
      <c r="H37" s="54"/>
    </row>
    <row r="38" spans="1:8" x14ac:dyDescent="0.45">
      <c r="A38" s="24" t="str">
        <f t="shared" si="0"/>
        <v/>
      </c>
      <c r="B38" s="29"/>
      <c r="C38" s="25"/>
      <c r="D38" s="26"/>
      <c r="E38" s="27"/>
      <c r="F38" s="37" t="str">
        <f t="shared" si="1"/>
        <v/>
      </c>
      <c r="G38" s="38" t="str">
        <f t="shared" si="2"/>
        <v/>
      </c>
      <c r="H38" s="28"/>
    </row>
    <row r="39" spans="1:8" x14ac:dyDescent="0.45">
      <c r="A39" s="47" t="str">
        <f t="shared" si="0"/>
        <v/>
      </c>
      <c r="B39" s="48"/>
      <c r="C39" s="49"/>
      <c r="D39" s="50"/>
      <c r="E39" s="51"/>
      <c r="F39" s="52" t="str">
        <f t="shared" si="1"/>
        <v/>
      </c>
      <c r="G39" s="53" t="str">
        <f t="shared" si="2"/>
        <v/>
      </c>
      <c r="H39" s="54"/>
    </row>
    <row r="40" spans="1:8" x14ac:dyDescent="0.45">
      <c r="A40" s="24" t="str">
        <f t="shared" si="0"/>
        <v/>
      </c>
      <c r="B40" s="29"/>
      <c r="C40" s="25"/>
      <c r="D40" s="26"/>
      <c r="E40" s="27"/>
      <c r="F40" s="37" t="str">
        <f t="shared" si="1"/>
        <v/>
      </c>
      <c r="G40" s="38" t="str">
        <f t="shared" si="2"/>
        <v/>
      </c>
      <c r="H40" s="28"/>
    </row>
    <row r="41" spans="1:8" x14ac:dyDescent="0.45">
      <c r="A41" s="47" t="str">
        <f t="shared" si="0"/>
        <v/>
      </c>
      <c r="B41" s="48"/>
      <c r="C41" s="49"/>
      <c r="D41" s="50"/>
      <c r="E41" s="51"/>
      <c r="F41" s="52" t="str">
        <f t="shared" si="1"/>
        <v/>
      </c>
      <c r="G41" s="53" t="str">
        <f t="shared" si="2"/>
        <v/>
      </c>
      <c r="H41" s="54"/>
    </row>
    <row r="42" spans="1:8" x14ac:dyDescent="0.45">
      <c r="A42" s="24" t="str">
        <f t="shared" si="0"/>
        <v/>
      </c>
      <c r="B42" s="29"/>
      <c r="C42" s="25"/>
      <c r="D42" s="26"/>
      <c r="E42" s="27"/>
      <c r="F42" s="37" t="str">
        <f t="shared" si="1"/>
        <v/>
      </c>
      <c r="G42" s="38" t="str">
        <f t="shared" si="2"/>
        <v/>
      </c>
      <c r="H42" s="28"/>
    </row>
    <row r="43" spans="1:8" x14ac:dyDescent="0.45">
      <c r="A43" s="47" t="str">
        <f t="shared" si="0"/>
        <v/>
      </c>
      <c r="B43" s="48"/>
      <c r="C43" s="49"/>
      <c r="D43" s="50"/>
      <c r="E43" s="51"/>
      <c r="F43" s="52" t="str">
        <f t="shared" si="1"/>
        <v/>
      </c>
      <c r="G43" s="53" t="str">
        <f t="shared" si="2"/>
        <v/>
      </c>
      <c r="H43" s="54"/>
    </row>
    <row r="44" spans="1:8" x14ac:dyDescent="0.45">
      <c r="A44" s="24" t="str">
        <f t="shared" si="0"/>
        <v/>
      </c>
      <c r="B44" s="29"/>
      <c r="C44" s="25"/>
      <c r="D44" s="26"/>
      <c r="E44" s="27"/>
      <c r="F44" s="37" t="str">
        <f t="shared" si="1"/>
        <v/>
      </c>
      <c r="G44" s="38" t="str">
        <f t="shared" si="2"/>
        <v/>
      </c>
      <c r="H44" s="28"/>
    </row>
    <row r="45" spans="1:8" x14ac:dyDescent="0.45">
      <c r="A45" s="47" t="str">
        <f t="shared" si="0"/>
        <v/>
      </c>
      <c r="B45" s="48"/>
      <c r="C45" s="49"/>
      <c r="D45" s="50"/>
      <c r="E45" s="51"/>
      <c r="F45" s="52" t="str">
        <f t="shared" si="1"/>
        <v/>
      </c>
      <c r="G45" s="53" t="str">
        <f t="shared" si="2"/>
        <v/>
      </c>
      <c r="H45" s="54"/>
    </row>
    <row r="46" spans="1:8" x14ac:dyDescent="0.45">
      <c r="A46" s="24" t="str">
        <f t="shared" si="0"/>
        <v/>
      </c>
      <c r="B46" s="29"/>
      <c r="C46" s="25"/>
      <c r="D46" s="26"/>
      <c r="E46" s="27"/>
      <c r="F46" s="37" t="str">
        <f t="shared" si="1"/>
        <v/>
      </c>
      <c r="G46" s="38" t="str">
        <f t="shared" si="2"/>
        <v/>
      </c>
      <c r="H46" s="28"/>
    </row>
    <row r="47" spans="1:8" x14ac:dyDescent="0.45">
      <c r="A47" s="47" t="str">
        <f t="shared" si="0"/>
        <v/>
      </c>
      <c r="B47" s="48"/>
      <c r="C47" s="49"/>
      <c r="D47" s="50"/>
      <c r="E47" s="51"/>
      <c r="F47" s="52" t="str">
        <f t="shared" si="1"/>
        <v/>
      </c>
      <c r="G47" s="53" t="str">
        <f t="shared" si="2"/>
        <v/>
      </c>
      <c r="H47" s="54"/>
    </row>
    <row r="48" spans="1:8" x14ac:dyDescent="0.45">
      <c r="A48" s="24" t="str">
        <f t="shared" si="0"/>
        <v/>
      </c>
      <c r="B48" s="29"/>
      <c r="C48" s="25"/>
      <c r="D48" s="26"/>
      <c r="E48" s="27"/>
      <c r="F48" s="37" t="str">
        <f t="shared" si="1"/>
        <v/>
      </c>
      <c r="G48" s="38" t="str">
        <f t="shared" si="2"/>
        <v/>
      </c>
      <c r="H48" s="28"/>
    </row>
    <row r="49" spans="1:8" x14ac:dyDescent="0.45">
      <c r="A49" s="47" t="str">
        <f t="shared" si="0"/>
        <v/>
      </c>
      <c r="B49" s="48"/>
      <c r="C49" s="49"/>
      <c r="D49" s="50"/>
      <c r="E49" s="51"/>
      <c r="F49" s="52" t="str">
        <f t="shared" si="1"/>
        <v/>
      </c>
      <c r="G49" s="53" t="str">
        <f t="shared" si="2"/>
        <v/>
      </c>
      <c r="H49" s="54"/>
    </row>
    <row r="50" spans="1:8" x14ac:dyDescent="0.45">
      <c r="A50" s="24" t="str">
        <f t="shared" si="0"/>
        <v/>
      </c>
      <c r="B50" s="29"/>
      <c r="C50" s="25"/>
      <c r="D50" s="26"/>
      <c r="E50" s="27"/>
      <c r="F50" s="37" t="str">
        <f t="shared" si="1"/>
        <v/>
      </c>
      <c r="G50" s="38" t="str">
        <f t="shared" si="2"/>
        <v/>
      </c>
      <c r="H50" s="28"/>
    </row>
    <row r="51" spans="1:8" x14ac:dyDescent="0.45">
      <c r="A51" s="47" t="str">
        <f t="shared" si="0"/>
        <v/>
      </c>
      <c r="B51" s="48"/>
      <c r="C51" s="49"/>
      <c r="D51" s="50"/>
      <c r="E51" s="51"/>
      <c r="F51" s="52" t="str">
        <f t="shared" si="1"/>
        <v/>
      </c>
      <c r="G51" s="53" t="str">
        <f t="shared" si="2"/>
        <v/>
      </c>
      <c r="H51" s="54"/>
    </row>
    <row r="52" spans="1:8" x14ac:dyDescent="0.45">
      <c r="A52" s="24" t="str">
        <f t="shared" si="0"/>
        <v/>
      </c>
      <c r="B52" s="29"/>
      <c r="C52" s="25"/>
      <c r="D52" s="26"/>
      <c r="E52" s="27"/>
      <c r="F52" s="37" t="str">
        <f t="shared" si="1"/>
        <v/>
      </c>
      <c r="G52" s="38" t="str">
        <f t="shared" si="2"/>
        <v/>
      </c>
      <c r="H52" s="28"/>
    </row>
    <row r="53" spans="1:8" x14ac:dyDescent="0.45">
      <c r="A53" s="47" t="str">
        <f t="shared" si="0"/>
        <v/>
      </c>
      <c r="B53" s="48"/>
      <c r="C53" s="49"/>
      <c r="D53" s="50"/>
      <c r="E53" s="51"/>
      <c r="F53" s="52" t="str">
        <f t="shared" si="1"/>
        <v/>
      </c>
      <c r="G53" s="53" t="str">
        <f t="shared" si="2"/>
        <v/>
      </c>
      <c r="H53" s="54"/>
    </row>
    <row r="54" spans="1:8" x14ac:dyDescent="0.45">
      <c r="A54" s="24" t="str">
        <f t="shared" si="0"/>
        <v/>
      </c>
      <c r="B54" s="29"/>
      <c r="C54" s="25"/>
      <c r="D54" s="26"/>
      <c r="E54" s="27"/>
      <c r="F54" s="37" t="str">
        <f t="shared" si="1"/>
        <v/>
      </c>
      <c r="G54" s="38" t="str">
        <f t="shared" si="2"/>
        <v/>
      </c>
      <c r="H54" s="28"/>
    </row>
    <row r="55" spans="1:8" x14ac:dyDescent="0.45">
      <c r="A55" s="47" t="str">
        <f t="shared" si="0"/>
        <v/>
      </c>
      <c r="B55" s="48"/>
      <c r="C55" s="49"/>
      <c r="D55" s="50"/>
      <c r="E55" s="51"/>
      <c r="F55" s="52" t="str">
        <f t="shared" si="1"/>
        <v/>
      </c>
      <c r="G55" s="53" t="str">
        <f t="shared" si="2"/>
        <v/>
      </c>
      <c r="H55" s="54"/>
    </row>
    <row r="56" spans="1:8" x14ac:dyDescent="0.45">
      <c r="A56" s="24" t="str">
        <f t="shared" si="0"/>
        <v/>
      </c>
      <c r="B56" s="29"/>
      <c r="C56" s="25"/>
      <c r="D56" s="26"/>
      <c r="E56" s="27"/>
      <c r="F56" s="37" t="str">
        <f t="shared" si="1"/>
        <v/>
      </c>
      <c r="G56" s="38" t="str">
        <f t="shared" si="2"/>
        <v/>
      </c>
      <c r="H56" s="28"/>
    </row>
    <row r="57" spans="1:8" x14ac:dyDescent="0.45">
      <c r="A57" s="47" t="str">
        <f t="shared" si="0"/>
        <v/>
      </c>
      <c r="B57" s="48"/>
      <c r="C57" s="49"/>
      <c r="D57" s="50"/>
      <c r="E57" s="51"/>
      <c r="F57" s="52" t="str">
        <f t="shared" si="1"/>
        <v/>
      </c>
      <c r="G57" s="53" t="str">
        <f t="shared" si="2"/>
        <v/>
      </c>
      <c r="H57" s="54"/>
    </row>
    <row r="58" spans="1:8" x14ac:dyDescent="0.45">
      <c r="A58" s="24" t="str">
        <f t="shared" si="0"/>
        <v/>
      </c>
      <c r="B58" s="29"/>
      <c r="C58" s="25"/>
      <c r="D58" s="26"/>
      <c r="E58" s="27"/>
      <c r="F58" s="37" t="str">
        <f t="shared" si="1"/>
        <v/>
      </c>
      <c r="G58" s="38" t="str">
        <f t="shared" si="2"/>
        <v/>
      </c>
      <c r="H58" s="28"/>
    </row>
    <row r="59" spans="1:8" x14ac:dyDescent="0.45">
      <c r="A59" s="47" t="str">
        <f t="shared" si="0"/>
        <v/>
      </c>
      <c r="B59" s="48"/>
      <c r="C59" s="49"/>
      <c r="D59" s="50"/>
      <c r="E59" s="51"/>
      <c r="F59" s="52" t="str">
        <f t="shared" si="1"/>
        <v/>
      </c>
      <c r="G59" s="53" t="str">
        <f t="shared" si="2"/>
        <v/>
      </c>
      <c r="H59" s="54"/>
    </row>
    <row r="60" spans="1:8" x14ac:dyDescent="0.45">
      <c r="A60" s="24" t="str">
        <f t="shared" si="0"/>
        <v/>
      </c>
      <c r="B60" s="29"/>
      <c r="C60" s="25"/>
      <c r="D60" s="26"/>
      <c r="E60" s="27"/>
      <c r="F60" s="37" t="str">
        <f t="shared" si="1"/>
        <v/>
      </c>
      <c r="G60" s="38" t="str">
        <f t="shared" si="2"/>
        <v/>
      </c>
      <c r="H60" s="28"/>
    </row>
    <row r="61" spans="1:8" x14ac:dyDescent="0.45">
      <c r="A61" s="47" t="str">
        <f t="shared" si="0"/>
        <v/>
      </c>
      <c r="B61" s="48"/>
      <c r="C61" s="49"/>
      <c r="D61" s="50"/>
      <c r="E61" s="51"/>
      <c r="F61" s="52" t="str">
        <f t="shared" si="1"/>
        <v/>
      </c>
      <c r="G61" s="53" t="str">
        <f t="shared" si="2"/>
        <v/>
      </c>
      <c r="H61" s="54"/>
    </row>
    <row r="62" spans="1:8" x14ac:dyDescent="0.45">
      <c r="A62" s="24" t="str">
        <f t="shared" si="0"/>
        <v/>
      </c>
      <c r="B62" s="29"/>
      <c r="C62" s="25"/>
      <c r="D62" s="26"/>
      <c r="E62" s="27"/>
      <c r="F62" s="37" t="str">
        <f t="shared" si="1"/>
        <v/>
      </c>
      <c r="G62" s="38" t="str">
        <f t="shared" si="2"/>
        <v/>
      </c>
      <c r="H62" s="28"/>
    </row>
    <row r="63" spans="1:8" x14ac:dyDescent="0.45">
      <c r="A63" s="47" t="str">
        <f t="shared" si="0"/>
        <v/>
      </c>
      <c r="B63" s="48"/>
      <c r="C63" s="49"/>
      <c r="D63" s="50"/>
      <c r="E63" s="51"/>
      <c r="F63" s="52" t="str">
        <f t="shared" si="1"/>
        <v/>
      </c>
      <c r="G63" s="53" t="str">
        <f t="shared" si="2"/>
        <v/>
      </c>
      <c r="H63" s="54"/>
    </row>
    <row r="64" spans="1:8" x14ac:dyDescent="0.45">
      <c r="A64" s="24" t="str">
        <f t="shared" si="0"/>
        <v/>
      </c>
      <c r="B64" s="29"/>
      <c r="C64" s="25"/>
      <c r="D64" s="26"/>
      <c r="E64" s="27"/>
      <c r="F64" s="37" t="str">
        <f t="shared" si="1"/>
        <v/>
      </c>
      <c r="G64" s="38" t="str">
        <f t="shared" si="2"/>
        <v/>
      </c>
      <c r="H64" s="28"/>
    </row>
    <row r="65" spans="1:8" x14ac:dyDescent="0.45">
      <c r="A65" s="47" t="str">
        <f t="shared" si="0"/>
        <v/>
      </c>
      <c r="B65" s="48"/>
      <c r="C65" s="49"/>
      <c r="D65" s="50"/>
      <c r="E65" s="51"/>
      <c r="F65" s="52" t="str">
        <f t="shared" si="1"/>
        <v/>
      </c>
      <c r="G65" s="53" t="str">
        <f t="shared" si="2"/>
        <v/>
      </c>
      <c r="H65" s="54"/>
    </row>
    <row r="66" spans="1:8" x14ac:dyDescent="0.45">
      <c r="A66" s="24" t="str">
        <f t="shared" si="0"/>
        <v/>
      </c>
      <c r="B66" s="29"/>
      <c r="C66" s="25"/>
      <c r="D66" s="26"/>
      <c r="E66" s="27"/>
      <c r="F66" s="37" t="str">
        <f t="shared" si="1"/>
        <v/>
      </c>
      <c r="G66" s="38" t="str">
        <f t="shared" si="2"/>
        <v/>
      </c>
      <c r="H66" s="28"/>
    </row>
    <row r="67" spans="1:8" x14ac:dyDescent="0.45">
      <c r="A67" s="47" t="str">
        <f t="shared" si="0"/>
        <v/>
      </c>
      <c r="B67" s="48"/>
      <c r="C67" s="49"/>
      <c r="D67" s="50"/>
      <c r="E67" s="51"/>
      <c r="F67" s="52" t="str">
        <f t="shared" si="1"/>
        <v/>
      </c>
      <c r="G67" s="53" t="str">
        <f t="shared" si="2"/>
        <v/>
      </c>
      <c r="H67" s="54"/>
    </row>
    <row r="68" spans="1:8" x14ac:dyDescent="0.45">
      <c r="A68" s="24" t="str">
        <f t="shared" si="0"/>
        <v/>
      </c>
      <c r="B68" s="29"/>
      <c r="C68" s="25"/>
      <c r="D68" s="26"/>
      <c r="E68" s="27"/>
      <c r="F68" s="37" t="str">
        <f t="shared" si="1"/>
        <v/>
      </c>
      <c r="G68" s="38" t="str">
        <f t="shared" si="2"/>
        <v/>
      </c>
      <c r="H68" s="28"/>
    </row>
    <row r="69" spans="1:8" x14ac:dyDescent="0.45">
      <c r="A69" s="47" t="str">
        <f t="shared" si="0"/>
        <v/>
      </c>
      <c r="B69" s="48"/>
      <c r="C69" s="49"/>
      <c r="D69" s="50"/>
      <c r="E69" s="51"/>
      <c r="F69" s="52" t="str">
        <f t="shared" si="1"/>
        <v/>
      </c>
      <c r="G69" s="53" t="str">
        <f t="shared" si="2"/>
        <v/>
      </c>
      <c r="H69" s="54"/>
    </row>
    <row r="70" spans="1:8" x14ac:dyDescent="0.45">
      <c r="A70" s="24" t="str">
        <f t="shared" si="0"/>
        <v/>
      </c>
      <c r="B70" s="29"/>
      <c r="C70" s="25"/>
      <c r="D70" s="26"/>
      <c r="E70" s="27"/>
      <c r="F70" s="37" t="str">
        <f t="shared" si="1"/>
        <v/>
      </c>
      <c r="G70" s="38" t="str">
        <f t="shared" si="2"/>
        <v/>
      </c>
      <c r="H70" s="28"/>
    </row>
    <row r="71" spans="1:8" x14ac:dyDescent="0.45">
      <c r="A71" s="47" t="str">
        <f t="shared" si="0"/>
        <v/>
      </c>
      <c r="B71" s="48"/>
      <c r="C71" s="49"/>
      <c r="D71" s="50"/>
      <c r="E71" s="51"/>
      <c r="F71" s="52" t="str">
        <f t="shared" si="1"/>
        <v/>
      </c>
      <c r="G71" s="53" t="str">
        <f t="shared" si="2"/>
        <v/>
      </c>
      <c r="H71" s="54"/>
    </row>
    <row r="72" spans="1:8" x14ac:dyDescent="0.45">
      <c r="A72" s="24" t="str">
        <f t="shared" si="0"/>
        <v/>
      </c>
      <c r="B72" s="29"/>
      <c r="C72" s="25"/>
      <c r="D72" s="26"/>
      <c r="E72" s="27"/>
      <c r="F72" s="37" t="str">
        <f t="shared" si="1"/>
        <v/>
      </c>
      <c r="G72" s="38" t="str">
        <f t="shared" si="2"/>
        <v/>
      </c>
      <c r="H72" s="28"/>
    </row>
    <row r="73" spans="1:8" x14ac:dyDescent="0.45">
      <c r="A73" s="47" t="str">
        <f t="shared" si="0"/>
        <v/>
      </c>
      <c r="B73" s="48"/>
      <c r="C73" s="49"/>
      <c r="D73" s="50"/>
      <c r="E73" s="51"/>
      <c r="F73" s="52" t="str">
        <f t="shared" si="1"/>
        <v/>
      </c>
      <c r="G73" s="53" t="str">
        <f t="shared" si="2"/>
        <v/>
      </c>
      <c r="H73" s="54"/>
    </row>
    <row r="74" spans="1:8" x14ac:dyDescent="0.45">
      <c r="A74" s="24" t="str">
        <f t="shared" si="0"/>
        <v/>
      </c>
      <c r="B74" s="29"/>
      <c r="C74" s="25"/>
      <c r="D74" s="26"/>
      <c r="E74" s="27"/>
      <c r="F74" s="37" t="str">
        <f t="shared" si="1"/>
        <v/>
      </c>
      <c r="G74" s="38" t="str">
        <f t="shared" si="2"/>
        <v/>
      </c>
      <c r="H74" s="28"/>
    </row>
    <row r="75" spans="1:8" x14ac:dyDescent="0.45">
      <c r="A75" s="47" t="str">
        <f t="shared" ref="A75:A138" si="3">IF(B75="","",ROW()-9)</f>
        <v/>
      </c>
      <c r="B75" s="48"/>
      <c r="C75" s="49"/>
      <c r="D75" s="50"/>
      <c r="E75" s="51"/>
      <c r="F75" s="52" t="str">
        <f t="shared" ref="F75:F138" si="4">IF(B75="","",D75*65000)</f>
        <v/>
      </c>
      <c r="G75" s="53" t="str">
        <f t="shared" ref="G75:G138" si="5">IF(B75="","",E75-F75)</f>
        <v/>
      </c>
      <c r="H75" s="54"/>
    </row>
    <row r="76" spans="1:8" x14ac:dyDescent="0.45">
      <c r="A76" s="24" t="str">
        <f t="shared" si="3"/>
        <v/>
      </c>
      <c r="B76" s="29"/>
      <c r="C76" s="25"/>
      <c r="D76" s="26"/>
      <c r="E76" s="27"/>
      <c r="F76" s="37" t="str">
        <f t="shared" si="4"/>
        <v/>
      </c>
      <c r="G76" s="38" t="str">
        <f t="shared" si="5"/>
        <v/>
      </c>
      <c r="H76" s="28"/>
    </row>
    <row r="77" spans="1:8" x14ac:dyDescent="0.45">
      <c r="A77" s="47" t="str">
        <f t="shared" si="3"/>
        <v/>
      </c>
      <c r="B77" s="48"/>
      <c r="C77" s="49"/>
      <c r="D77" s="50"/>
      <c r="E77" s="51"/>
      <c r="F77" s="52" t="str">
        <f t="shared" si="4"/>
        <v/>
      </c>
      <c r="G77" s="53" t="str">
        <f t="shared" si="5"/>
        <v/>
      </c>
      <c r="H77" s="54"/>
    </row>
    <row r="78" spans="1:8" x14ac:dyDescent="0.45">
      <c r="A78" s="24" t="str">
        <f t="shared" si="3"/>
        <v/>
      </c>
      <c r="B78" s="29"/>
      <c r="C78" s="25"/>
      <c r="D78" s="26"/>
      <c r="E78" s="27"/>
      <c r="F78" s="37" t="str">
        <f t="shared" si="4"/>
        <v/>
      </c>
      <c r="G78" s="38" t="str">
        <f t="shared" si="5"/>
        <v/>
      </c>
      <c r="H78" s="28"/>
    </row>
    <row r="79" spans="1:8" x14ac:dyDescent="0.45">
      <c r="A79" s="47" t="str">
        <f t="shared" si="3"/>
        <v/>
      </c>
      <c r="B79" s="48"/>
      <c r="C79" s="49"/>
      <c r="D79" s="50"/>
      <c r="E79" s="51"/>
      <c r="F79" s="52" t="str">
        <f t="shared" si="4"/>
        <v/>
      </c>
      <c r="G79" s="53" t="str">
        <f t="shared" si="5"/>
        <v/>
      </c>
      <c r="H79" s="54"/>
    </row>
    <row r="80" spans="1:8" x14ac:dyDescent="0.45">
      <c r="A80" s="24" t="str">
        <f t="shared" si="3"/>
        <v/>
      </c>
      <c r="B80" s="29"/>
      <c r="C80" s="25"/>
      <c r="D80" s="26"/>
      <c r="E80" s="27"/>
      <c r="F80" s="37" t="str">
        <f t="shared" si="4"/>
        <v/>
      </c>
      <c r="G80" s="38" t="str">
        <f t="shared" si="5"/>
        <v/>
      </c>
      <c r="H80" s="28"/>
    </row>
    <row r="81" spans="1:8" x14ac:dyDescent="0.45">
      <c r="A81" s="47" t="str">
        <f t="shared" si="3"/>
        <v/>
      </c>
      <c r="B81" s="48"/>
      <c r="C81" s="49"/>
      <c r="D81" s="50"/>
      <c r="E81" s="51"/>
      <c r="F81" s="52" t="str">
        <f t="shared" si="4"/>
        <v/>
      </c>
      <c r="G81" s="53" t="str">
        <f t="shared" si="5"/>
        <v/>
      </c>
      <c r="H81" s="54"/>
    </row>
    <row r="82" spans="1:8" x14ac:dyDescent="0.45">
      <c r="A82" s="24" t="str">
        <f t="shared" si="3"/>
        <v/>
      </c>
      <c r="B82" s="29"/>
      <c r="C82" s="25"/>
      <c r="D82" s="26"/>
      <c r="E82" s="27"/>
      <c r="F82" s="37" t="str">
        <f t="shared" si="4"/>
        <v/>
      </c>
      <c r="G82" s="38" t="str">
        <f t="shared" si="5"/>
        <v/>
      </c>
      <c r="H82" s="28"/>
    </row>
    <row r="83" spans="1:8" x14ac:dyDescent="0.45">
      <c r="A83" s="47" t="str">
        <f t="shared" si="3"/>
        <v/>
      </c>
      <c r="B83" s="48"/>
      <c r="C83" s="49"/>
      <c r="D83" s="50"/>
      <c r="E83" s="51"/>
      <c r="F83" s="52" t="str">
        <f t="shared" si="4"/>
        <v/>
      </c>
      <c r="G83" s="53" t="str">
        <f t="shared" si="5"/>
        <v/>
      </c>
      <c r="H83" s="54"/>
    </row>
    <row r="84" spans="1:8" x14ac:dyDescent="0.45">
      <c r="A84" s="24" t="str">
        <f t="shared" si="3"/>
        <v/>
      </c>
      <c r="B84" s="29"/>
      <c r="C84" s="25"/>
      <c r="D84" s="26"/>
      <c r="E84" s="27"/>
      <c r="F84" s="37" t="str">
        <f t="shared" si="4"/>
        <v/>
      </c>
      <c r="G84" s="38" t="str">
        <f t="shared" si="5"/>
        <v/>
      </c>
      <c r="H84" s="28"/>
    </row>
    <row r="85" spans="1:8" x14ac:dyDescent="0.45">
      <c r="A85" s="47" t="str">
        <f t="shared" si="3"/>
        <v/>
      </c>
      <c r="B85" s="48"/>
      <c r="C85" s="49"/>
      <c r="D85" s="50"/>
      <c r="E85" s="51"/>
      <c r="F85" s="52" t="str">
        <f t="shared" si="4"/>
        <v/>
      </c>
      <c r="G85" s="53" t="str">
        <f t="shared" si="5"/>
        <v/>
      </c>
      <c r="H85" s="54"/>
    </row>
    <row r="86" spans="1:8" x14ac:dyDescent="0.45">
      <c r="A86" s="24" t="str">
        <f t="shared" si="3"/>
        <v/>
      </c>
      <c r="B86" s="29"/>
      <c r="C86" s="25"/>
      <c r="D86" s="26"/>
      <c r="E86" s="27"/>
      <c r="F86" s="37" t="str">
        <f t="shared" si="4"/>
        <v/>
      </c>
      <c r="G86" s="38" t="str">
        <f t="shared" si="5"/>
        <v/>
      </c>
      <c r="H86" s="28"/>
    </row>
    <row r="87" spans="1:8" x14ac:dyDescent="0.45">
      <c r="A87" s="47" t="str">
        <f t="shared" si="3"/>
        <v/>
      </c>
      <c r="B87" s="48"/>
      <c r="C87" s="49"/>
      <c r="D87" s="50"/>
      <c r="E87" s="51"/>
      <c r="F87" s="52" t="str">
        <f t="shared" si="4"/>
        <v/>
      </c>
      <c r="G87" s="53" t="str">
        <f t="shared" si="5"/>
        <v/>
      </c>
      <c r="H87" s="54"/>
    </row>
    <row r="88" spans="1:8" x14ac:dyDescent="0.45">
      <c r="A88" s="24" t="str">
        <f t="shared" si="3"/>
        <v/>
      </c>
      <c r="B88" s="29"/>
      <c r="C88" s="25"/>
      <c r="D88" s="26"/>
      <c r="E88" s="27"/>
      <c r="F88" s="37" t="str">
        <f t="shared" si="4"/>
        <v/>
      </c>
      <c r="G88" s="38" t="str">
        <f t="shared" si="5"/>
        <v/>
      </c>
      <c r="H88" s="28"/>
    </row>
    <row r="89" spans="1:8" x14ac:dyDescent="0.45">
      <c r="A89" s="47" t="str">
        <f t="shared" si="3"/>
        <v/>
      </c>
      <c r="B89" s="48"/>
      <c r="C89" s="49"/>
      <c r="D89" s="50"/>
      <c r="E89" s="51"/>
      <c r="F89" s="52" t="str">
        <f t="shared" si="4"/>
        <v/>
      </c>
      <c r="G89" s="53" t="str">
        <f t="shared" si="5"/>
        <v/>
      </c>
      <c r="H89" s="54"/>
    </row>
    <row r="90" spans="1:8" x14ac:dyDescent="0.45">
      <c r="A90" s="24" t="str">
        <f t="shared" si="3"/>
        <v/>
      </c>
      <c r="B90" s="29"/>
      <c r="C90" s="25"/>
      <c r="D90" s="26"/>
      <c r="E90" s="27"/>
      <c r="F90" s="37" t="str">
        <f t="shared" si="4"/>
        <v/>
      </c>
      <c r="G90" s="38" t="str">
        <f t="shared" si="5"/>
        <v/>
      </c>
      <c r="H90" s="28"/>
    </row>
    <row r="91" spans="1:8" x14ac:dyDescent="0.45">
      <c r="A91" s="47" t="str">
        <f t="shared" si="3"/>
        <v/>
      </c>
      <c r="B91" s="48"/>
      <c r="C91" s="49"/>
      <c r="D91" s="50"/>
      <c r="E91" s="51"/>
      <c r="F91" s="52" t="str">
        <f t="shared" si="4"/>
        <v/>
      </c>
      <c r="G91" s="53" t="str">
        <f t="shared" si="5"/>
        <v/>
      </c>
      <c r="H91" s="54"/>
    </row>
    <row r="92" spans="1:8" x14ac:dyDescent="0.45">
      <c r="A92" s="24" t="str">
        <f t="shared" si="3"/>
        <v/>
      </c>
      <c r="B92" s="29"/>
      <c r="C92" s="25"/>
      <c r="D92" s="26"/>
      <c r="E92" s="27"/>
      <c r="F92" s="37" t="str">
        <f t="shared" si="4"/>
        <v/>
      </c>
      <c r="G92" s="38" t="str">
        <f t="shared" si="5"/>
        <v/>
      </c>
      <c r="H92" s="28"/>
    </row>
    <row r="93" spans="1:8" x14ac:dyDescent="0.45">
      <c r="A93" s="47" t="str">
        <f t="shared" si="3"/>
        <v/>
      </c>
      <c r="B93" s="48"/>
      <c r="C93" s="49"/>
      <c r="D93" s="50"/>
      <c r="E93" s="51"/>
      <c r="F93" s="52" t="str">
        <f t="shared" si="4"/>
        <v/>
      </c>
      <c r="G93" s="53" t="str">
        <f t="shared" si="5"/>
        <v/>
      </c>
      <c r="H93" s="54"/>
    </row>
    <row r="94" spans="1:8" x14ac:dyDescent="0.45">
      <c r="A94" s="24" t="str">
        <f t="shared" si="3"/>
        <v/>
      </c>
      <c r="B94" s="29"/>
      <c r="C94" s="25"/>
      <c r="D94" s="26"/>
      <c r="E94" s="27"/>
      <c r="F94" s="37" t="str">
        <f t="shared" si="4"/>
        <v/>
      </c>
      <c r="G94" s="38" t="str">
        <f t="shared" si="5"/>
        <v/>
      </c>
      <c r="H94" s="28"/>
    </row>
    <row r="95" spans="1:8" x14ac:dyDescent="0.45">
      <c r="A95" s="47" t="str">
        <f t="shared" si="3"/>
        <v/>
      </c>
      <c r="B95" s="48"/>
      <c r="C95" s="49"/>
      <c r="D95" s="50"/>
      <c r="E95" s="51"/>
      <c r="F95" s="52" t="str">
        <f t="shared" si="4"/>
        <v/>
      </c>
      <c r="G95" s="53" t="str">
        <f t="shared" si="5"/>
        <v/>
      </c>
      <c r="H95" s="54"/>
    </row>
    <row r="96" spans="1:8" x14ac:dyDescent="0.45">
      <c r="A96" s="24" t="str">
        <f t="shared" si="3"/>
        <v/>
      </c>
      <c r="B96" s="29"/>
      <c r="C96" s="25"/>
      <c r="D96" s="26"/>
      <c r="E96" s="27"/>
      <c r="F96" s="37" t="str">
        <f t="shared" si="4"/>
        <v/>
      </c>
      <c r="G96" s="38" t="str">
        <f t="shared" si="5"/>
        <v/>
      </c>
      <c r="H96" s="28"/>
    </row>
    <row r="97" spans="1:8" x14ac:dyDescent="0.45">
      <c r="A97" s="47" t="str">
        <f t="shared" si="3"/>
        <v/>
      </c>
      <c r="B97" s="48"/>
      <c r="C97" s="49"/>
      <c r="D97" s="50"/>
      <c r="E97" s="51"/>
      <c r="F97" s="52" t="str">
        <f t="shared" si="4"/>
        <v/>
      </c>
      <c r="G97" s="53" t="str">
        <f t="shared" si="5"/>
        <v/>
      </c>
      <c r="H97" s="54"/>
    </row>
    <row r="98" spans="1:8" x14ac:dyDescent="0.45">
      <c r="A98" s="24" t="str">
        <f t="shared" si="3"/>
        <v/>
      </c>
      <c r="B98" s="29"/>
      <c r="C98" s="25"/>
      <c r="D98" s="26"/>
      <c r="E98" s="27"/>
      <c r="F98" s="37" t="str">
        <f t="shared" si="4"/>
        <v/>
      </c>
      <c r="G98" s="38" t="str">
        <f t="shared" si="5"/>
        <v/>
      </c>
      <c r="H98" s="28"/>
    </row>
    <row r="99" spans="1:8" x14ac:dyDescent="0.45">
      <c r="A99" s="47" t="str">
        <f t="shared" si="3"/>
        <v/>
      </c>
      <c r="B99" s="48"/>
      <c r="C99" s="49"/>
      <c r="D99" s="50"/>
      <c r="E99" s="51"/>
      <c r="F99" s="52" t="str">
        <f t="shared" si="4"/>
        <v/>
      </c>
      <c r="G99" s="53" t="str">
        <f t="shared" si="5"/>
        <v/>
      </c>
      <c r="H99" s="54"/>
    </row>
    <row r="100" spans="1:8" x14ac:dyDescent="0.45">
      <c r="A100" s="24" t="str">
        <f t="shared" si="3"/>
        <v/>
      </c>
      <c r="B100" s="29"/>
      <c r="C100" s="25"/>
      <c r="D100" s="26"/>
      <c r="E100" s="27"/>
      <c r="F100" s="37" t="str">
        <f t="shared" si="4"/>
        <v/>
      </c>
      <c r="G100" s="38" t="str">
        <f t="shared" si="5"/>
        <v/>
      </c>
      <c r="H100" s="28"/>
    </row>
    <row r="101" spans="1:8" x14ac:dyDescent="0.45">
      <c r="A101" s="47" t="str">
        <f t="shared" si="3"/>
        <v/>
      </c>
      <c r="B101" s="48"/>
      <c r="C101" s="49"/>
      <c r="D101" s="50"/>
      <c r="E101" s="51"/>
      <c r="F101" s="52" t="str">
        <f t="shared" si="4"/>
        <v/>
      </c>
      <c r="G101" s="53" t="str">
        <f t="shared" si="5"/>
        <v/>
      </c>
      <c r="H101" s="54"/>
    </row>
    <row r="102" spans="1:8" x14ac:dyDescent="0.45">
      <c r="A102" s="24" t="str">
        <f t="shared" si="3"/>
        <v/>
      </c>
      <c r="B102" s="29"/>
      <c r="C102" s="25"/>
      <c r="D102" s="26"/>
      <c r="E102" s="27"/>
      <c r="F102" s="37" t="str">
        <f t="shared" si="4"/>
        <v/>
      </c>
      <c r="G102" s="38" t="str">
        <f t="shared" si="5"/>
        <v/>
      </c>
      <c r="H102" s="28"/>
    </row>
    <row r="103" spans="1:8" x14ac:dyDescent="0.45">
      <c r="A103" s="47" t="str">
        <f t="shared" si="3"/>
        <v/>
      </c>
      <c r="B103" s="48"/>
      <c r="C103" s="49"/>
      <c r="D103" s="50"/>
      <c r="E103" s="51"/>
      <c r="F103" s="52" t="str">
        <f t="shared" si="4"/>
        <v/>
      </c>
      <c r="G103" s="53" t="str">
        <f t="shared" si="5"/>
        <v/>
      </c>
      <c r="H103" s="54"/>
    </row>
    <row r="104" spans="1:8" x14ac:dyDescent="0.45">
      <c r="A104" s="24" t="str">
        <f t="shared" si="3"/>
        <v/>
      </c>
      <c r="B104" s="29"/>
      <c r="C104" s="25"/>
      <c r="D104" s="26"/>
      <c r="E104" s="27"/>
      <c r="F104" s="37" t="str">
        <f t="shared" si="4"/>
        <v/>
      </c>
      <c r="G104" s="38" t="str">
        <f t="shared" si="5"/>
        <v/>
      </c>
      <c r="H104" s="28"/>
    </row>
    <row r="105" spans="1:8" x14ac:dyDescent="0.45">
      <c r="A105" s="47" t="str">
        <f t="shared" si="3"/>
        <v/>
      </c>
      <c r="B105" s="48"/>
      <c r="C105" s="49"/>
      <c r="D105" s="50"/>
      <c r="E105" s="51"/>
      <c r="F105" s="52" t="str">
        <f t="shared" si="4"/>
        <v/>
      </c>
      <c r="G105" s="53" t="str">
        <f t="shared" si="5"/>
        <v/>
      </c>
      <c r="H105" s="54"/>
    </row>
    <row r="106" spans="1:8" x14ac:dyDescent="0.45">
      <c r="A106" s="24" t="str">
        <f t="shared" si="3"/>
        <v/>
      </c>
      <c r="B106" s="29"/>
      <c r="C106" s="25"/>
      <c r="D106" s="26"/>
      <c r="E106" s="27"/>
      <c r="F106" s="37" t="str">
        <f t="shared" si="4"/>
        <v/>
      </c>
      <c r="G106" s="38" t="str">
        <f t="shared" si="5"/>
        <v/>
      </c>
      <c r="H106" s="28"/>
    </row>
    <row r="107" spans="1:8" x14ac:dyDescent="0.45">
      <c r="A107" s="47" t="str">
        <f t="shared" si="3"/>
        <v/>
      </c>
      <c r="B107" s="48"/>
      <c r="C107" s="49"/>
      <c r="D107" s="50"/>
      <c r="E107" s="51"/>
      <c r="F107" s="52" t="str">
        <f t="shared" si="4"/>
        <v/>
      </c>
      <c r="G107" s="53" t="str">
        <f t="shared" si="5"/>
        <v/>
      </c>
      <c r="H107" s="54"/>
    </row>
    <row r="108" spans="1:8" x14ac:dyDescent="0.45">
      <c r="A108" s="24" t="str">
        <f t="shared" si="3"/>
        <v/>
      </c>
      <c r="B108" s="29"/>
      <c r="C108" s="25"/>
      <c r="D108" s="26"/>
      <c r="E108" s="27"/>
      <c r="F108" s="37" t="str">
        <f t="shared" si="4"/>
        <v/>
      </c>
      <c r="G108" s="38" t="str">
        <f t="shared" si="5"/>
        <v/>
      </c>
      <c r="H108" s="28"/>
    </row>
    <row r="109" spans="1:8" x14ac:dyDescent="0.45">
      <c r="A109" s="47" t="str">
        <f t="shared" si="3"/>
        <v/>
      </c>
      <c r="B109" s="48"/>
      <c r="C109" s="49"/>
      <c r="D109" s="50"/>
      <c r="E109" s="51"/>
      <c r="F109" s="52" t="str">
        <f t="shared" si="4"/>
        <v/>
      </c>
      <c r="G109" s="53" t="str">
        <f t="shared" si="5"/>
        <v/>
      </c>
      <c r="H109" s="54"/>
    </row>
    <row r="110" spans="1:8" x14ac:dyDescent="0.45">
      <c r="A110" s="24" t="str">
        <f t="shared" si="3"/>
        <v/>
      </c>
      <c r="B110" s="29"/>
      <c r="C110" s="25"/>
      <c r="D110" s="26"/>
      <c r="E110" s="27"/>
      <c r="F110" s="37" t="str">
        <f t="shared" si="4"/>
        <v/>
      </c>
      <c r="G110" s="38" t="str">
        <f t="shared" si="5"/>
        <v/>
      </c>
      <c r="H110" s="28"/>
    </row>
    <row r="111" spans="1:8" x14ac:dyDescent="0.45">
      <c r="A111" s="47" t="str">
        <f t="shared" si="3"/>
        <v/>
      </c>
      <c r="B111" s="48"/>
      <c r="C111" s="49"/>
      <c r="D111" s="50"/>
      <c r="E111" s="51"/>
      <c r="F111" s="52" t="str">
        <f t="shared" si="4"/>
        <v/>
      </c>
      <c r="G111" s="53" t="str">
        <f t="shared" si="5"/>
        <v/>
      </c>
      <c r="H111" s="54"/>
    </row>
    <row r="112" spans="1:8" x14ac:dyDescent="0.45">
      <c r="A112" s="24" t="str">
        <f t="shared" si="3"/>
        <v/>
      </c>
      <c r="B112" s="29"/>
      <c r="C112" s="25"/>
      <c r="D112" s="26"/>
      <c r="E112" s="27"/>
      <c r="F112" s="37" t="str">
        <f t="shared" si="4"/>
        <v/>
      </c>
      <c r="G112" s="38" t="str">
        <f t="shared" si="5"/>
        <v/>
      </c>
      <c r="H112" s="28"/>
    </row>
    <row r="113" spans="1:8" x14ac:dyDescent="0.45">
      <c r="A113" s="47" t="str">
        <f t="shared" si="3"/>
        <v/>
      </c>
      <c r="B113" s="48"/>
      <c r="C113" s="49"/>
      <c r="D113" s="50"/>
      <c r="E113" s="51"/>
      <c r="F113" s="52" t="str">
        <f t="shared" si="4"/>
        <v/>
      </c>
      <c r="G113" s="53" t="str">
        <f t="shared" si="5"/>
        <v/>
      </c>
      <c r="H113" s="54"/>
    </row>
    <row r="114" spans="1:8" x14ac:dyDescent="0.45">
      <c r="A114" s="24" t="str">
        <f t="shared" si="3"/>
        <v/>
      </c>
      <c r="B114" s="29"/>
      <c r="C114" s="25"/>
      <c r="D114" s="26"/>
      <c r="E114" s="27"/>
      <c r="F114" s="37" t="str">
        <f t="shared" si="4"/>
        <v/>
      </c>
      <c r="G114" s="38" t="str">
        <f t="shared" si="5"/>
        <v/>
      </c>
      <c r="H114" s="28"/>
    </row>
    <row r="115" spans="1:8" x14ac:dyDescent="0.45">
      <c r="A115" s="47" t="str">
        <f t="shared" si="3"/>
        <v/>
      </c>
      <c r="B115" s="48"/>
      <c r="C115" s="49"/>
      <c r="D115" s="50"/>
      <c r="E115" s="51"/>
      <c r="F115" s="52" t="str">
        <f t="shared" si="4"/>
        <v/>
      </c>
      <c r="G115" s="53" t="str">
        <f t="shared" si="5"/>
        <v/>
      </c>
      <c r="H115" s="54"/>
    </row>
    <row r="116" spans="1:8" x14ac:dyDescent="0.45">
      <c r="A116" s="24" t="str">
        <f t="shared" si="3"/>
        <v/>
      </c>
      <c r="B116" s="29"/>
      <c r="C116" s="25"/>
      <c r="D116" s="26"/>
      <c r="E116" s="27"/>
      <c r="F116" s="37" t="str">
        <f t="shared" si="4"/>
        <v/>
      </c>
      <c r="G116" s="38" t="str">
        <f t="shared" si="5"/>
        <v/>
      </c>
      <c r="H116" s="28"/>
    </row>
    <row r="117" spans="1:8" x14ac:dyDescent="0.45">
      <c r="A117" s="47" t="str">
        <f t="shared" si="3"/>
        <v/>
      </c>
      <c r="B117" s="48"/>
      <c r="C117" s="49"/>
      <c r="D117" s="50"/>
      <c r="E117" s="51"/>
      <c r="F117" s="52" t="str">
        <f t="shared" si="4"/>
        <v/>
      </c>
      <c r="G117" s="53" t="str">
        <f t="shared" si="5"/>
        <v/>
      </c>
      <c r="H117" s="54"/>
    </row>
    <row r="118" spans="1:8" x14ac:dyDescent="0.45">
      <c r="A118" s="24" t="str">
        <f t="shared" si="3"/>
        <v/>
      </c>
      <c r="B118" s="29"/>
      <c r="C118" s="25"/>
      <c r="D118" s="26"/>
      <c r="E118" s="27"/>
      <c r="F118" s="37" t="str">
        <f t="shared" si="4"/>
        <v/>
      </c>
      <c r="G118" s="38" t="str">
        <f t="shared" si="5"/>
        <v/>
      </c>
      <c r="H118" s="28"/>
    </row>
    <row r="119" spans="1:8" x14ac:dyDescent="0.45">
      <c r="A119" s="47" t="str">
        <f t="shared" si="3"/>
        <v/>
      </c>
      <c r="B119" s="48"/>
      <c r="C119" s="49"/>
      <c r="D119" s="50"/>
      <c r="E119" s="51"/>
      <c r="F119" s="52" t="str">
        <f t="shared" si="4"/>
        <v/>
      </c>
      <c r="G119" s="53" t="str">
        <f t="shared" si="5"/>
        <v/>
      </c>
      <c r="H119" s="54"/>
    </row>
    <row r="120" spans="1:8" x14ac:dyDescent="0.45">
      <c r="A120" s="24" t="str">
        <f t="shared" si="3"/>
        <v/>
      </c>
      <c r="B120" s="29"/>
      <c r="C120" s="25"/>
      <c r="D120" s="26"/>
      <c r="E120" s="27"/>
      <c r="F120" s="37" t="str">
        <f t="shared" si="4"/>
        <v/>
      </c>
      <c r="G120" s="38" t="str">
        <f t="shared" si="5"/>
        <v/>
      </c>
      <c r="H120" s="28"/>
    </row>
    <row r="121" spans="1:8" x14ac:dyDescent="0.45">
      <c r="A121" s="47" t="str">
        <f t="shared" si="3"/>
        <v/>
      </c>
      <c r="B121" s="48"/>
      <c r="C121" s="49"/>
      <c r="D121" s="50"/>
      <c r="E121" s="51"/>
      <c r="F121" s="52" t="str">
        <f t="shared" si="4"/>
        <v/>
      </c>
      <c r="G121" s="53" t="str">
        <f t="shared" si="5"/>
        <v/>
      </c>
      <c r="H121" s="54"/>
    </row>
    <row r="122" spans="1:8" x14ac:dyDescent="0.45">
      <c r="A122" s="24" t="str">
        <f t="shared" si="3"/>
        <v/>
      </c>
      <c r="B122" s="29"/>
      <c r="C122" s="25"/>
      <c r="D122" s="26"/>
      <c r="E122" s="27"/>
      <c r="F122" s="37" t="str">
        <f t="shared" si="4"/>
        <v/>
      </c>
      <c r="G122" s="38" t="str">
        <f t="shared" si="5"/>
        <v/>
      </c>
      <c r="H122" s="28"/>
    </row>
    <row r="123" spans="1:8" x14ac:dyDescent="0.45">
      <c r="A123" s="47" t="str">
        <f t="shared" si="3"/>
        <v/>
      </c>
      <c r="B123" s="48"/>
      <c r="C123" s="49"/>
      <c r="D123" s="50"/>
      <c r="E123" s="51"/>
      <c r="F123" s="52" t="str">
        <f t="shared" si="4"/>
        <v/>
      </c>
      <c r="G123" s="53" t="str">
        <f t="shared" si="5"/>
        <v/>
      </c>
      <c r="H123" s="54"/>
    </row>
    <row r="124" spans="1:8" x14ac:dyDescent="0.45">
      <c r="A124" s="24" t="str">
        <f t="shared" si="3"/>
        <v/>
      </c>
      <c r="B124" s="29"/>
      <c r="C124" s="25"/>
      <c r="D124" s="26"/>
      <c r="E124" s="27"/>
      <c r="F124" s="37" t="str">
        <f t="shared" si="4"/>
        <v/>
      </c>
      <c r="G124" s="38" t="str">
        <f t="shared" si="5"/>
        <v/>
      </c>
      <c r="H124" s="28"/>
    </row>
    <row r="125" spans="1:8" x14ac:dyDescent="0.45">
      <c r="A125" s="47" t="str">
        <f t="shared" si="3"/>
        <v/>
      </c>
      <c r="B125" s="48"/>
      <c r="C125" s="49"/>
      <c r="D125" s="50"/>
      <c r="E125" s="51"/>
      <c r="F125" s="52" t="str">
        <f t="shared" si="4"/>
        <v/>
      </c>
      <c r="G125" s="53" t="str">
        <f t="shared" si="5"/>
        <v/>
      </c>
      <c r="H125" s="54"/>
    </row>
    <row r="126" spans="1:8" x14ac:dyDescent="0.45">
      <c r="A126" s="24" t="str">
        <f t="shared" si="3"/>
        <v/>
      </c>
      <c r="B126" s="29"/>
      <c r="C126" s="25"/>
      <c r="D126" s="26"/>
      <c r="E126" s="27"/>
      <c r="F126" s="37" t="str">
        <f t="shared" si="4"/>
        <v/>
      </c>
      <c r="G126" s="38" t="str">
        <f t="shared" si="5"/>
        <v/>
      </c>
      <c r="H126" s="28"/>
    </row>
    <row r="127" spans="1:8" x14ac:dyDescent="0.45">
      <c r="A127" s="47" t="str">
        <f t="shared" si="3"/>
        <v/>
      </c>
      <c r="B127" s="48"/>
      <c r="C127" s="49"/>
      <c r="D127" s="50"/>
      <c r="E127" s="51"/>
      <c r="F127" s="52" t="str">
        <f t="shared" si="4"/>
        <v/>
      </c>
      <c r="G127" s="53" t="str">
        <f t="shared" si="5"/>
        <v/>
      </c>
      <c r="H127" s="54"/>
    </row>
    <row r="128" spans="1:8" x14ac:dyDescent="0.45">
      <c r="A128" s="24" t="str">
        <f t="shared" si="3"/>
        <v/>
      </c>
      <c r="B128" s="29"/>
      <c r="C128" s="25"/>
      <c r="D128" s="26"/>
      <c r="E128" s="27"/>
      <c r="F128" s="37" t="str">
        <f t="shared" si="4"/>
        <v/>
      </c>
      <c r="G128" s="38" t="str">
        <f t="shared" si="5"/>
        <v/>
      </c>
      <c r="H128" s="28"/>
    </row>
    <row r="129" spans="1:8" x14ac:dyDescent="0.45">
      <c r="A129" s="47" t="str">
        <f t="shared" si="3"/>
        <v/>
      </c>
      <c r="B129" s="48"/>
      <c r="C129" s="49"/>
      <c r="D129" s="50"/>
      <c r="E129" s="51"/>
      <c r="F129" s="52" t="str">
        <f t="shared" si="4"/>
        <v/>
      </c>
      <c r="G129" s="53" t="str">
        <f t="shared" si="5"/>
        <v/>
      </c>
      <c r="H129" s="54"/>
    </row>
    <row r="130" spans="1:8" x14ac:dyDescent="0.45">
      <c r="A130" s="24" t="str">
        <f t="shared" si="3"/>
        <v/>
      </c>
      <c r="B130" s="29"/>
      <c r="C130" s="25"/>
      <c r="D130" s="26"/>
      <c r="E130" s="27"/>
      <c r="F130" s="37" t="str">
        <f t="shared" si="4"/>
        <v/>
      </c>
      <c r="G130" s="38" t="str">
        <f t="shared" si="5"/>
        <v/>
      </c>
      <c r="H130" s="28"/>
    </row>
    <row r="131" spans="1:8" x14ac:dyDescent="0.45">
      <c r="A131" s="47" t="str">
        <f t="shared" si="3"/>
        <v/>
      </c>
      <c r="B131" s="48"/>
      <c r="C131" s="49"/>
      <c r="D131" s="50"/>
      <c r="E131" s="51"/>
      <c r="F131" s="52" t="str">
        <f t="shared" si="4"/>
        <v/>
      </c>
      <c r="G131" s="53" t="str">
        <f t="shared" si="5"/>
        <v/>
      </c>
      <c r="H131" s="54"/>
    </row>
    <row r="132" spans="1:8" x14ac:dyDescent="0.45">
      <c r="A132" s="24" t="str">
        <f t="shared" si="3"/>
        <v/>
      </c>
      <c r="B132" s="29"/>
      <c r="C132" s="25"/>
      <c r="D132" s="26"/>
      <c r="E132" s="27"/>
      <c r="F132" s="37" t="str">
        <f t="shared" si="4"/>
        <v/>
      </c>
      <c r="G132" s="38" t="str">
        <f t="shared" si="5"/>
        <v/>
      </c>
      <c r="H132" s="28"/>
    </row>
    <row r="133" spans="1:8" x14ac:dyDescent="0.45">
      <c r="A133" s="47" t="str">
        <f t="shared" si="3"/>
        <v/>
      </c>
      <c r="B133" s="48"/>
      <c r="C133" s="49"/>
      <c r="D133" s="50"/>
      <c r="E133" s="51"/>
      <c r="F133" s="52" t="str">
        <f t="shared" si="4"/>
        <v/>
      </c>
      <c r="G133" s="53" t="str">
        <f t="shared" si="5"/>
        <v/>
      </c>
      <c r="H133" s="54"/>
    </row>
    <row r="134" spans="1:8" x14ac:dyDescent="0.45">
      <c r="A134" s="24" t="str">
        <f t="shared" si="3"/>
        <v/>
      </c>
      <c r="B134" s="29"/>
      <c r="C134" s="25"/>
      <c r="D134" s="26"/>
      <c r="E134" s="27"/>
      <c r="F134" s="37" t="str">
        <f t="shared" si="4"/>
        <v/>
      </c>
      <c r="G134" s="38" t="str">
        <f t="shared" si="5"/>
        <v/>
      </c>
      <c r="H134" s="28"/>
    </row>
    <row r="135" spans="1:8" x14ac:dyDescent="0.45">
      <c r="A135" s="47" t="str">
        <f t="shared" si="3"/>
        <v/>
      </c>
      <c r="B135" s="48"/>
      <c r="C135" s="49"/>
      <c r="D135" s="50"/>
      <c r="E135" s="51"/>
      <c r="F135" s="52" t="str">
        <f t="shared" si="4"/>
        <v/>
      </c>
      <c r="G135" s="53" t="str">
        <f t="shared" si="5"/>
        <v/>
      </c>
      <c r="H135" s="54"/>
    </row>
    <row r="136" spans="1:8" x14ac:dyDescent="0.45">
      <c r="A136" s="24" t="str">
        <f t="shared" si="3"/>
        <v/>
      </c>
      <c r="B136" s="29"/>
      <c r="C136" s="25"/>
      <c r="D136" s="26"/>
      <c r="E136" s="27"/>
      <c r="F136" s="37" t="str">
        <f t="shared" si="4"/>
        <v/>
      </c>
      <c r="G136" s="38" t="str">
        <f t="shared" si="5"/>
        <v/>
      </c>
      <c r="H136" s="28"/>
    </row>
    <row r="137" spans="1:8" x14ac:dyDescent="0.45">
      <c r="A137" s="47" t="str">
        <f t="shared" si="3"/>
        <v/>
      </c>
      <c r="B137" s="48"/>
      <c r="C137" s="49"/>
      <c r="D137" s="50"/>
      <c r="E137" s="51"/>
      <c r="F137" s="52" t="str">
        <f t="shared" si="4"/>
        <v/>
      </c>
      <c r="G137" s="53" t="str">
        <f t="shared" si="5"/>
        <v/>
      </c>
      <c r="H137" s="54"/>
    </row>
    <row r="138" spans="1:8" x14ac:dyDescent="0.45">
      <c r="A138" s="24" t="str">
        <f t="shared" si="3"/>
        <v/>
      </c>
      <c r="B138" s="29"/>
      <c r="C138" s="25"/>
      <c r="D138" s="26"/>
      <c r="E138" s="27"/>
      <c r="F138" s="37" t="str">
        <f t="shared" si="4"/>
        <v/>
      </c>
      <c r="G138" s="38" t="str">
        <f t="shared" si="5"/>
        <v/>
      </c>
      <c r="H138" s="28"/>
    </row>
    <row r="139" spans="1:8" x14ac:dyDescent="0.45">
      <c r="A139" s="47" t="str">
        <f t="shared" ref="A139:A202" si="6">IF(B139="","",ROW()-9)</f>
        <v/>
      </c>
      <c r="B139" s="48"/>
      <c r="C139" s="49"/>
      <c r="D139" s="50"/>
      <c r="E139" s="51"/>
      <c r="F139" s="52" t="str">
        <f t="shared" ref="F139:F202" si="7">IF(B139="","",D139*65000)</f>
        <v/>
      </c>
      <c r="G139" s="53" t="str">
        <f t="shared" ref="G139:G202" si="8">IF(B139="","",E139-F139)</f>
        <v/>
      </c>
      <c r="H139" s="54"/>
    </row>
    <row r="140" spans="1:8" x14ac:dyDescent="0.45">
      <c r="A140" s="24" t="str">
        <f t="shared" si="6"/>
        <v/>
      </c>
      <c r="B140" s="29"/>
      <c r="C140" s="25"/>
      <c r="D140" s="26"/>
      <c r="E140" s="27"/>
      <c r="F140" s="37" t="str">
        <f t="shared" si="7"/>
        <v/>
      </c>
      <c r="G140" s="38" t="str">
        <f t="shared" si="8"/>
        <v/>
      </c>
      <c r="H140" s="28"/>
    </row>
    <row r="141" spans="1:8" x14ac:dyDescent="0.45">
      <c r="A141" s="47" t="str">
        <f t="shared" si="6"/>
        <v/>
      </c>
      <c r="B141" s="48"/>
      <c r="C141" s="49"/>
      <c r="D141" s="50"/>
      <c r="E141" s="51"/>
      <c r="F141" s="52" t="str">
        <f t="shared" si="7"/>
        <v/>
      </c>
      <c r="G141" s="53" t="str">
        <f t="shared" si="8"/>
        <v/>
      </c>
      <c r="H141" s="54"/>
    </row>
    <row r="142" spans="1:8" x14ac:dyDescent="0.45">
      <c r="A142" s="24" t="str">
        <f t="shared" si="6"/>
        <v/>
      </c>
      <c r="B142" s="29"/>
      <c r="C142" s="25"/>
      <c r="D142" s="26"/>
      <c r="E142" s="27"/>
      <c r="F142" s="37" t="str">
        <f t="shared" si="7"/>
        <v/>
      </c>
      <c r="G142" s="38" t="str">
        <f t="shared" si="8"/>
        <v/>
      </c>
      <c r="H142" s="28"/>
    </row>
    <row r="143" spans="1:8" x14ac:dyDescent="0.45">
      <c r="A143" s="47" t="str">
        <f t="shared" si="6"/>
        <v/>
      </c>
      <c r="B143" s="48"/>
      <c r="C143" s="49"/>
      <c r="D143" s="50"/>
      <c r="E143" s="51"/>
      <c r="F143" s="52" t="str">
        <f t="shared" si="7"/>
        <v/>
      </c>
      <c r="G143" s="53" t="str">
        <f t="shared" si="8"/>
        <v/>
      </c>
      <c r="H143" s="54"/>
    </row>
    <row r="144" spans="1:8" x14ac:dyDescent="0.45">
      <c r="A144" s="24" t="str">
        <f t="shared" si="6"/>
        <v/>
      </c>
      <c r="B144" s="29"/>
      <c r="C144" s="25"/>
      <c r="D144" s="26"/>
      <c r="E144" s="27"/>
      <c r="F144" s="37" t="str">
        <f t="shared" si="7"/>
        <v/>
      </c>
      <c r="G144" s="38" t="str">
        <f t="shared" si="8"/>
        <v/>
      </c>
      <c r="H144" s="28"/>
    </row>
    <row r="145" spans="1:8" x14ac:dyDescent="0.45">
      <c r="A145" s="47" t="str">
        <f t="shared" si="6"/>
        <v/>
      </c>
      <c r="B145" s="48"/>
      <c r="C145" s="49"/>
      <c r="D145" s="50"/>
      <c r="E145" s="51"/>
      <c r="F145" s="52" t="str">
        <f t="shared" si="7"/>
        <v/>
      </c>
      <c r="G145" s="53" t="str">
        <f t="shared" si="8"/>
        <v/>
      </c>
      <c r="H145" s="54"/>
    </row>
    <row r="146" spans="1:8" x14ac:dyDescent="0.45">
      <c r="A146" s="24" t="str">
        <f t="shared" si="6"/>
        <v/>
      </c>
      <c r="B146" s="29"/>
      <c r="C146" s="25"/>
      <c r="D146" s="26"/>
      <c r="E146" s="27"/>
      <c r="F146" s="37" t="str">
        <f t="shared" si="7"/>
        <v/>
      </c>
      <c r="G146" s="38" t="str">
        <f t="shared" si="8"/>
        <v/>
      </c>
      <c r="H146" s="28"/>
    </row>
    <row r="147" spans="1:8" x14ac:dyDescent="0.45">
      <c r="A147" s="47" t="str">
        <f t="shared" si="6"/>
        <v/>
      </c>
      <c r="B147" s="48"/>
      <c r="C147" s="49"/>
      <c r="D147" s="50"/>
      <c r="E147" s="51"/>
      <c r="F147" s="52" t="str">
        <f t="shared" si="7"/>
        <v/>
      </c>
      <c r="G147" s="53" t="str">
        <f t="shared" si="8"/>
        <v/>
      </c>
      <c r="H147" s="54"/>
    </row>
    <row r="148" spans="1:8" x14ac:dyDescent="0.45">
      <c r="A148" s="24" t="str">
        <f t="shared" si="6"/>
        <v/>
      </c>
      <c r="B148" s="29"/>
      <c r="C148" s="25"/>
      <c r="D148" s="26"/>
      <c r="E148" s="27"/>
      <c r="F148" s="37" t="str">
        <f t="shared" si="7"/>
        <v/>
      </c>
      <c r="G148" s="38" t="str">
        <f t="shared" si="8"/>
        <v/>
      </c>
      <c r="H148" s="28"/>
    </row>
    <row r="149" spans="1:8" x14ac:dyDescent="0.45">
      <c r="A149" s="47" t="str">
        <f t="shared" si="6"/>
        <v/>
      </c>
      <c r="B149" s="48"/>
      <c r="C149" s="49"/>
      <c r="D149" s="50"/>
      <c r="E149" s="51"/>
      <c r="F149" s="52" t="str">
        <f t="shared" si="7"/>
        <v/>
      </c>
      <c r="G149" s="53" t="str">
        <f t="shared" si="8"/>
        <v/>
      </c>
      <c r="H149" s="54"/>
    </row>
    <row r="150" spans="1:8" x14ac:dyDescent="0.45">
      <c r="A150" s="24" t="str">
        <f t="shared" si="6"/>
        <v/>
      </c>
      <c r="B150" s="29"/>
      <c r="C150" s="25"/>
      <c r="D150" s="26"/>
      <c r="E150" s="27"/>
      <c r="F150" s="37" t="str">
        <f t="shared" si="7"/>
        <v/>
      </c>
      <c r="G150" s="38" t="str">
        <f t="shared" si="8"/>
        <v/>
      </c>
      <c r="H150" s="28"/>
    </row>
    <row r="151" spans="1:8" x14ac:dyDescent="0.45">
      <c r="A151" s="47" t="str">
        <f t="shared" si="6"/>
        <v/>
      </c>
      <c r="B151" s="48"/>
      <c r="C151" s="49"/>
      <c r="D151" s="50"/>
      <c r="E151" s="51"/>
      <c r="F151" s="52" t="str">
        <f t="shared" si="7"/>
        <v/>
      </c>
      <c r="G151" s="53" t="str">
        <f t="shared" si="8"/>
        <v/>
      </c>
      <c r="H151" s="54"/>
    </row>
    <row r="152" spans="1:8" x14ac:dyDescent="0.45">
      <c r="A152" s="24" t="str">
        <f t="shared" si="6"/>
        <v/>
      </c>
      <c r="B152" s="29"/>
      <c r="C152" s="25"/>
      <c r="D152" s="26"/>
      <c r="E152" s="27"/>
      <c r="F152" s="37" t="str">
        <f t="shared" si="7"/>
        <v/>
      </c>
      <c r="G152" s="38" t="str">
        <f t="shared" si="8"/>
        <v/>
      </c>
      <c r="H152" s="28"/>
    </row>
    <row r="153" spans="1:8" x14ac:dyDescent="0.45">
      <c r="A153" s="47" t="str">
        <f t="shared" si="6"/>
        <v/>
      </c>
      <c r="B153" s="48"/>
      <c r="C153" s="49"/>
      <c r="D153" s="50"/>
      <c r="E153" s="51"/>
      <c r="F153" s="52" t="str">
        <f t="shared" si="7"/>
        <v/>
      </c>
      <c r="G153" s="53" t="str">
        <f t="shared" si="8"/>
        <v/>
      </c>
      <c r="H153" s="54"/>
    </row>
    <row r="154" spans="1:8" x14ac:dyDescent="0.45">
      <c r="A154" s="24" t="str">
        <f t="shared" si="6"/>
        <v/>
      </c>
      <c r="B154" s="29"/>
      <c r="C154" s="25"/>
      <c r="D154" s="26"/>
      <c r="E154" s="27"/>
      <c r="F154" s="37" t="str">
        <f t="shared" si="7"/>
        <v/>
      </c>
      <c r="G154" s="38" t="str">
        <f t="shared" si="8"/>
        <v/>
      </c>
      <c r="H154" s="28"/>
    </row>
    <row r="155" spans="1:8" x14ac:dyDescent="0.45">
      <c r="A155" s="47" t="str">
        <f t="shared" si="6"/>
        <v/>
      </c>
      <c r="B155" s="48"/>
      <c r="C155" s="49"/>
      <c r="D155" s="50"/>
      <c r="E155" s="51"/>
      <c r="F155" s="52" t="str">
        <f t="shared" si="7"/>
        <v/>
      </c>
      <c r="G155" s="53" t="str">
        <f t="shared" si="8"/>
        <v/>
      </c>
      <c r="H155" s="54"/>
    </row>
    <row r="156" spans="1:8" x14ac:dyDescent="0.45">
      <c r="A156" s="24" t="str">
        <f t="shared" si="6"/>
        <v/>
      </c>
      <c r="B156" s="29"/>
      <c r="C156" s="25"/>
      <c r="D156" s="26"/>
      <c r="E156" s="27"/>
      <c r="F156" s="37" t="str">
        <f t="shared" si="7"/>
        <v/>
      </c>
      <c r="G156" s="38" t="str">
        <f t="shared" si="8"/>
        <v/>
      </c>
      <c r="H156" s="28"/>
    </row>
    <row r="157" spans="1:8" x14ac:dyDescent="0.45">
      <c r="A157" s="47" t="str">
        <f t="shared" si="6"/>
        <v/>
      </c>
      <c r="B157" s="48"/>
      <c r="C157" s="49"/>
      <c r="D157" s="50"/>
      <c r="E157" s="51"/>
      <c r="F157" s="52" t="str">
        <f t="shared" si="7"/>
        <v/>
      </c>
      <c r="G157" s="53" t="str">
        <f t="shared" si="8"/>
        <v/>
      </c>
      <c r="H157" s="54"/>
    </row>
    <row r="158" spans="1:8" x14ac:dyDescent="0.45">
      <c r="A158" s="24" t="str">
        <f t="shared" si="6"/>
        <v/>
      </c>
      <c r="B158" s="29"/>
      <c r="C158" s="25"/>
      <c r="D158" s="26"/>
      <c r="E158" s="27"/>
      <c r="F158" s="37" t="str">
        <f t="shared" si="7"/>
        <v/>
      </c>
      <c r="G158" s="38" t="str">
        <f t="shared" si="8"/>
        <v/>
      </c>
      <c r="H158" s="28"/>
    </row>
    <row r="159" spans="1:8" x14ac:dyDescent="0.45">
      <c r="A159" s="47" t="str">
        <f t="shared" si="6"/>
        <v/>
      </c>
      <c r="B159" s="48"/>
      <c r="C159" s="49"/>
      <c r="D159" s="50"/>
      <c r="E159" s="51"/>
      <c r="F159" s="52" t="str">
        <f t="shared" si="7"/>
        <v/>
      </c>
      <c r="G159" s="53" t="str">
        <f t="shared" si="8"/>
        <v/>
      </c>
      <c r="H159" s="54"/>
    </row>
    <row r="160" spans="1:8" x14ac:dyDescent="0.45">
      <c r="A160" s="24" t="str">
        <f t="shared" si="6"/>
        <v/>
      </c>
      <c r="B160" s="29"/>
      <c r="C160" s="25"/>
      <c r="D160" s="26"/>
      <c r="E160" s="27"/>
      <c r="F160" s="37" t="str">
        <f t="shared" si="7"/>
        <v/>
      </c>
      <c r="G160" s="38" t="str">
        <f t="shared" si="8"/>
        <v/>
      </c>
      <c r="H160" s="28"/>
    </row>
    <row r="161" spans="1:8" x14ac:dyDescent="0.45">
      <c r="A161" s="47" t="str">
        <f t="shared" si="6"/>
        <v/>
      </c>
      <c r="B161" s="48"/>
      <c r="C161" s="49"/>
      <c r="D161" s="50"/>
      <c r="E161" s="51"/>
      <c r="F161" s="52" t="str">
        <f t="shared" si="7"/>
        <v/>
      </c>
      <c r="G161" s="53" t="str">
        <f t="shared" si="8"/>
        <v/>
      </c>
      <c r="H161" s="54"/>
    </row>
    <row r="162" spans="1:8" x14ac:dyDescent="0.45">
      <c r="A162" s="24" t="str">
        <f t="shared" si="6"/>
        <v/>
      </c>
      <c r="B162" s="29"/>
      <c r="C162" s="25"/>
      <c r="D162" s="26"/>
      <c r="E162" s="27"/>
      <c r="F162" s="37" t="str">
        <f t="shared" si="7"/>
        <v/>
      </c>
      <c r="G162" s="38" t="str">
        <f t="shared" si="8"/>
        <v/>
      </c>
      <c r="H162" s="28"/>
    </row>
    <row r="163" spans="1:8" x14ac:dyDescent="0.45">
      <c r="A163" s="47" t="str">
        <f t="shared" si="6"/>
        <v/>
      </c>
      <c r="B163" s="48"/>
      <c r="C163" s="49"/>
      <c r="D163" s="50"/>
      <c r="E163" s="51"/>
      <c r="F163" s="52" t="str">
        <f t="shared" si="7"/>
        <v/>
      </c>
      <c r="G163" s="53" t="str">
        <f t="shared" si="8"/>
        <v/>
      </c>
      <c r="H163" s="54"/>
    </row>
    <row r="164" spans="1:8" x14ac:dyDescent="0.45">
      <c r="A164" s="24" t="str">
        <f t="shared" si="6"/>
        <v/>
      </c>
      <c r="B164" s="29"/>
      <c r="C164" s="25"/>
      <c r="D164" s="26"/>
      <c r="E164" s="27"/>
      <c r="F164" s="37" t="str">
        <f t="shared" si="7"/>
        <v/>
      </c>
      <c r="G164" s="38" t="str">
        <f t="shared" si="8"/>
        <v/>
      </c>
      <c r="H164" s="28"/>
    </row>
    <row r="165" spans="1:8" x14ac:dyDescent="0.45">
      <c r="A165" s="47" t="str">
        <f t="shared" si="6"/>
        <v/>
      </c>
      <c r="B165" s="48"/>
      <c r="C165" s="49"/>
      <c r="D165" s="50"/>
      <c r="E165" s="51"/>
      <c r="F165" s="52" t="str">
        <f t="shared" si="7"/>
        <v/>
      </c>
      <c r="G165" s="53" t="str">
        <f t="shared" si="8"/>
        <v/>
      </c>
      <c r="H165" s="54"/>
    </row>
    <row r="166" spans="1:8" x14ac:dyDescent="0.45">
      <c r="A166" s="24" t="str">
        <f t="shared" si="6"/>
        <v/>
      </c>
      <c r="B166" s="29"/>
      <c r="C166" s="25"/>
      <c r="D166" s="26"/>
      <c r="E166" s="27"/>
      <c r="F166" s="37" t="str">
        <f t="shared" si="7"/>
        <v/>
      </c>
      <c r="G166" s="38" t="str">
        <f t="shared" si="8"/>
        <v/>
      </c>
      <c r="H166" s="28"/>
    </row>
    <row r="167" spans="1:8" x14ac:dyDescent="0.45">
      <c r="A167" s="47" t="str">
        <f t="shared" si="6"/>
        <v/>
      </c>
      <c r="B167" s="48"/>
      <c r="C167" s="49"/>
      <c r="D167" s="50"/>
      <c r="E167" s="51"/>
      <c r="F167" s="52" t="str">
        <f t="shared" si="7"/>
        <v/>
      </c>
      <c r="G167" s="53" t="str">
        <f t="shared" si="8"/>
        <v/>
      </c>
      <c r="H167" s="54"/>
    </row>
    <row r="168" spans="1:8" x14ac:dyDescent="0.45">
      <c r="A168" s="24" t="str">
        <f t="shared" si="6"/>
        <v/>
      </c>
      <c r="B168" s="29"/>
      <c r="C168" s="25"/>
      <c r="D168" s="26"/>
      <c r="E168" s="27"/>
      <c r="F168" s="37" t="str">
        <f t="shared" si="7"/>
        <v/>
      </c>
      <c r="G168" s="38" t="str">
        <f t="shared" si="8"/>
        <v/>
      </c>
      <c r="H168" s="28"/>
    </row>
    <row r="169" spans="1:8" x14ac:dyDescent="0.45">
      <c r="A169" s="47" t="str">
        <f t="shared" si="6"/>
        <v/>
      </c>
      <c r="B169" s="48"/>
      <c r="C169" s="49"/>
      <c r="D169" s="50"/>
      <c r="E169" s="51"/>
      <c r="F169" s="52" t="str">
        <f t="shared" si="7"/>
        <v/>
      </c>
      <c r="G169" s="53" t="str">
        <f t="shared" si="8"/>
        <v/>
      </c>
      <c r="H169" s="54"/>
    </row>
    <row r="170" spans="1:8" x14ac:dyDescent="0.45">
      <c r="A170" s="24" t="str">
        <f t="shared" si="6"/>
        <v/>
      </c>
      <c r="B170" s="29"/>
      <c r="C170" s="25"/>
      <c r="D170" s="26"/>
      <c r="E170" s="27"/>
      <c r="F170" s="37" t="str">
        <f t="shared" si="7"/>
        <v/>
      </c>
      <c r="G170" s="38" t="str">
        <f t="shared" si="8"/>
        <v/>
      </c>
      <c r="H170" s="28"/>
    </row>
    <row r="171" spans="1:8" x14ac:dyDescent="0.45">
      <c r="A171" s="47" t="str">
        <f t="shared" si="6"/>
        <v/>
      </c>
      <c r="B171" s="48"/>
      <c r="C171" s="49"/>
      <c r="D171" s="50"/>
      <c r="E171" s="51"/>
      <c r="F171" s="52" t="str">
        <f t="shared" si="7"/>
        <v/>
      </c>
      <c r="G171" s="53" t="str">
        <f t="shared" si="8"/>
        <v/>
      </c>
      <c r="H171" s="54"/>
    </row>
    <row r="172" spans="1:8" x14ac:dyDescent="0.45">
      <c r="A172" s="24" t="str">
        <f t="shared" si="6"/>
        <v/>
      </c>
      <c r="B172" s="29"/>
      <c r="C172" s="25"/>
      <c r="D172" s="26"/>
      <c r="E172" s="27"/>
      <c r="F172" s="37" t="str">
        <f t="shared" si="7"/>
        <v/>
      </c>
      <c r="G172" s="38" t="str">
        <f t="shared" si="8"/>
        <v/>
      </c>
      <c r="H172" s="28"/>
    </row>
    <row r="173" spans="1:8" x14ac:dyDescent="0.45">
      <c r="A173" s="47" t="str">
        <f t="shared" si="6"/>
        <v/>
      </c>
      <c r="B173" s="48"/>
      <c r="C173" s="49"/>
      <c r="D173" s="50"/>
      <c r="E173" s="51"/>
      <c r="F173" s="52" t="str">
        <f t="shared" si="7"/>
        <v/>
      </c>
      <c r="G173" s="53" t="str">
        <f t="shared" si="8"/>
        <v/>
      </c>
      <c r="H173" s="54"/>
    </row>
    <row r="174" spans="1:8" x14ac:dyDescent="0.45">
      <c r="A174" s="24" t="str">
        <f t="shared" si="6"/>
        <v/>
      </c>
      <c r="B174" s="29"/>
      <c r="C174" s="25"/>
      <c r="D174" s="26"/>
      <c r="E174" s="27"/>
      <c r="F174" s="37" t="str">
        <f t="shared" si="7"/>
        <v/>
      </c>
      <c r="G174" s="38" t="str">
        <f t="shared" si="8"/>
        <v/>
      </c>
      <c r="H174" s="28"/>
    </row>
    <row r="175" spans="1:8" x14ac:dyDescent="0.45">
      <c r="A175" s="47" t="str">
        <f t="shared" si="6"/>
        <v/>
      </c>
      <c r="B175" s="48"/>
      <c r="C175" s="49"/>
      <c r="D175" s="50"/>
      <c r="E175" s="51"/>
      <c r="F175" s="52" t="str">
        <f t="shared" si="7"/>
        <v/>
      </c>
      <c r="G175" s="53" t="str">
        <f t="shared" si="8"/>
        <v/>
      </c>
      <c r="H175" s="54"/>
    </row>
    <row r="176" spans="1:8" x14ac:dyDescent="0.45">
      <c r="A176" s="24" t="str">
        <f t="shared" si="6"/>
        <v/>
      </c>
      <c r="B176" s="29"/>
      <c r="C176" s="25"/>
      <c r="D176" s="26"/>
      <c r="E176" s="27"/>
      <c r="F176" s="37" t="str">
        <f t="shared" si="7"/>
        <v/>
      </c>
      <c r="G176" s="38" t="str">
        <f t="shared" si="8"/>
        <v/>
      </c>
      <c r="H176" s="28"/>
    </row>
    <row r="177" spans="1:8" x14ac:dyDescent="0.45">
      <c r="A177" s="47" t="str">
        <f t="shared" si="6"/>
        <v/>
      </c>
      <c r="B177" s="48"/>
      <c r="C177" s="49"/>
      <c r="D177" s="50"/>
      <c r="E177" s="51"/>
      <c r="F177" s="52" t="str">
        <f t="shared" si="7"/>
        <v/>
      </c>
      <c r="G177" s="53" t="str">
        <f t="shared" si="8"/>
        <v/>
      </c>
      <c r="H177" s="54"/>
    </row>
    <row r="178" spans="1:8" x14ac:dyDescent="0.45">
      <c r="A178" s="24" t="str">
        <f t="shared" si="6"/>
        <v/>
      </c>
      <c r="B178" s="29"/>
      <c r="C178" s="25"/>
      <c r="D178" s="26"/>
      <c r="E178" s="27"/>
      <c r="F178" s="37" t="str">
        <f t="shared" si="7"/>
        <v/>
      </c>
      <c r="G178" s="38" t="str">
        <f t="shared" si="8"/>
        <v/>
      </c>
      <c r="H178" s="28"/>
    </row>
    <row r="179" spans="1:8" x14ac:dyDescent="0.45">
      <c r="A179" s="47" t="str">
        <f t="shared" si="6"/>
        <v/>
      </c>
      <c r="B179" s="48"/>
      <c r="C179" s="49"/>
      <c r="D179" s="50"/>
      <c r="E179" s="51"/>
      <c r="F179" s="52" t="str">
        <f t="shared" si="7"/>
        <v/>
      </c>
      <c r="G179" s="53" t="str">
        <f t="shared" si="8"/>
        <v/>
      </c>
      <c r="H179" s="54"/>
    </row>
    <row r="180" spans="1:8" x14ac:dyDescent="0.45">
      <c r="A180" s="24" t="str">
        <f t="shared" si="6"/>
        <v/>
      </c>
      <c r="B180" s="29"/>
      <c r="C180" s="25"/>
      <c r="D180" s="26"/>
      <c r="E180" s="27"/>
      <c r="F180" s="37" t="str">
        <f t="shared" si="7"/>
        <v/>
      </c>
      <c r="G180" s="38" t="str">
        <f t="shared" si="8"/>
        <v/>
      </c>
      <c r="H180" s="28"/>
    </row>
    <row r="181" spans="1:8" x14ac:dyDescent="0.45">
      <c r="A181" s="47" t="str">
        <f t="shared" si="6"/>
        <v/>
      </c>
      <c r="B181" s="48"/>
      <c r="C181" s="49"/>
      <c r="D181" s="50"/>
      <c r="E181" s="51"/>
      <c r="F181" s="52" t="str">
        <f t="shared" si="7"/>
        <v/>
      </c>
      <c r="G181" s="53" t="str">
        <f t="shared" si="8"/>
        <v/>
      </c>
      <c r="H181" s="54"/>
    </row>
    <row r="182" spans="1:8" x14ac:dyDescent="0.45">
      <c r="A182" s="24" t="str">
        <f t="shared" si="6"/>
        <v/>
      </c>
      <c r="B182" s="29"/>
      <c r="C182" s="25"/>
      <c r="D182" s="26"/>
      <c r="E182" s="27"/>
      <c r="F182" s="37" t="str">
        <f t="shared" si="7"/>
        <v/>
      </c>
      <c r="G182" s="38" t="str">
        <f t="shared" si="8"/>
        <v/>
      </c>
      <c r="H182" s="28"/>
    </row>
    <row r="183" spans="1:8" x14ac:dyDescent="0.45">
      <c r="A183" s="47" t="str">
        <f t="shared" si="6"/>
        <v/>
      </c>
      <c r="B183" s="48"/>
      <c r="C183" s="49"/>
      <c r="D183" s="50"/>
      <c r="E183" s="51"/>
      <c r="F183" s="52" t="str">
        <f t="shared" si="7"/>
        <v/>
      </c>
      <c r="G183" s="53" t="str">
        <f t="shared" si="8"/>
        <v/>
      </c>
      <c r="H183" s="54"/>
    </row>
    <row r="184" spans="1:8" x14ac:dyDescent="0.45">
      <c r="A184" s="24" t="str">
        <f t="shared" si="6"/>
        <v/>
      </c>
      <c r="B184" s="29"/>
      <c r="C184" s="25"/>
      <c r="D184" s="26"/>
      <c r="E184" s="27"/>
      <c r="F184" s="37" t="str">
        <f t="shared" si="7"/>
        <v/>
      </c>
      <c r="G184" s="38" t="str">
        <f t="shared" si="8"/>
        <v/>
      </c>
      <c r="H184" s="28"/>
    </row>
    <row r="185" spans="1:8" x14ac:dyDescent="0.45">
      <c r="A185" s="47" t="str">
        <f t="shared" si="6"/>
        <v/>
      </c>
      <c r="B185" s="48"/>
      <c r="C185" s="49"/>
      <c r="D185" s="50"/>
      <c r="E185" s="51"/>
      <c r="F185" s="52" t="str">
        <f t="shared" si="7"/>
        <v/>
      </c>
      <c r="G185" s="53" t="str">
        <f t="shared" si="8"/>
        <v/>
      </c>
      <c r="H185" s="54"/>
    </row>
    <row r="186" spans="1:8" x14ac:dyDescent="0.45">
      <c r="A186" s="24" t="str">
        <f t="shared" si="6"/>
        <v/>
      </c>
      <c r="B186" s="29"/>
      <c r="C186" s="25"/>
      <c r="D186" s="26"/>
      <c r="E186" s="27"/>
      <c r="F186" s="37" t="str">
        <f t="shared" si="7"/>
        <v/>
      </c>
      <c r="G186" s="38" t="str">
        <f t="shared" si="8"/>
        <v/>
      </c>
      <c r="H186" s="28"/>
    </row>
    <row r="187" spans="1:8" x14ac:dyDescent="0.45">
      <c r="A187" s="47" t="str">
        <f t="shared" si="6"/>
        <v/>
      </c>
      <c r="B187" s="48"/>
      <c r="C187" s="49"/>
      <c r="D187" s="50"/>
      <c r="E187" s="51"/>
      <c r="F187" s="52" t="str">
        <f t="shared" si="7"/>
        <v/>
      </c>
      <c r="G187" s="53" t="str">
        <f t="shared" si="8"/>
        <v/>
      </c>
      <c r="H187" s="54"/>
    </row>
    <row r="188" spans="1:8" x14ac:dyDescent="0.45">
      <c r="A188" s="24" t="str">
        <f t="shared" si="6"/>
        <v/>
      </c>
      <c r="B188" s="29"/>
      <c r="C188" s="25"/>
      <c r="D188" s="26"/>
      <c r="E188" s="27"/>
      <c r="F188" s="37" t="str">
        <f t="shared" si="7"/>
        <v/>
      </c>
      <c r="G188" s="38" t="str">
        <f t="shared" si="8"/>
        <v/>
      </c>
      <c r="H188" s="28"/>
    </row>
    <row r="189" spans="1:8" x14ac:dyDescent="0.45">
      <c r="A189" s="47" t="str">
        <f t="shared" si="6"/>
        <v/>
      </c>
      <c r="B189" s="48"/>
      <c r="C189" s="49"/>
      <c r="D189" s="50"/>
      <c r="E189" s="51"/>
      <c r="F189" s="52" t="str">
        <f t="shared" si="7"/>
        <v/>
      </c>
      <c r="G189" s="53" t="str">
        <f t="shared" si="8"/>
        <v/>
      </c>
      <c r="H189" s="54"/>
    </row>
    <row r="190" spans="1:8" x14ac:dyDescent="0.45">
      <c r="A190" s="24" t="str">
        <f t="shared" si="6"/>
        <v/>
      </c>
      <c r="B190" s="29"/>
      <c r="C190" s="25"/>
      <c r="D190" s="26"/>
      <c r="E190" s="27"/>
      <c r="F190" s="37" t="str">
        <f t="shared" si="7"/>
        <v/>
      </c>
      <c r="G190" s="38" t="str">
        <f t="shared" si="8"/>
        <v/>
      </c>
      <c r="H190" s="28"/>
    </row>
    <row r="191" spans="1:8" x14ac:dyDescent="0.45">
      <c r="A191" s="47" t="str">
        <f t="shared" si="6"/>
        <v/>
      </c>
      <c r="B191" s="48"/>
      <c r="C191" s="49"/>
      <c r="D191" s="50"/>
      <c r="E191" s="51"/>
      <c r="F191" s="52" t="str">
        <f t="shared" si="7"/>
        <v/>
      </c>
      <c r="G191" s="53" t="str">
        <f t="shared" si="8"/>
        <v/>
      </c>
      <c r="H191" s="54"/>
    </row>
    <row r="192" spans="1:8" x14ac:dyDescent="0.45">
      <c r="A192" s="24" t="str">
        <f t="shared" si="6"/>
        <v/>
      </c>
      <c r="B192" s="29"/>
      <c r="C192" s="25"/>
      <c r="D192" s="26"/>
      <c r="E192" s="27"/>
      <c r="F192" s="37" t="str">
        <f t="shared" si="7"/>
        <v/>
      </c>
      <c r="G192" s="38" t="str">
        <f t="shared" si="8"/>
        <v/>
      </c>
      <c r="H192" s="28"/>
    </row>
    <row r="193" spans="1:8" x14ac:dyDescent="0.45">
      <c r="A193" s="47" t="str">
        <f t="shared" si="6"/>
        <v/>
      </c>
      <c r="B193" s="48"/>
      <c r="C193" s="49"/>
      <c r="D193" s="50"/>
      <c r="E193" s="51"/>
      <c r="F193" s="52" t="str">
        <f t="shared" si="7"/>
        <v/>
      </c>
      <c r="G193" s="53" t="str">
        <f t="shared" si="8"/>
        <v/>
      </c>
      <c r="H193" s="54"/>
    </row>
    <row r="194" spans="1:8" x14ac:dyDescent="0.45">
      <c r="A194" s="24" t="str">
        <f t="shared" si="6"/>
        <v/>
      </c>
      <c r="B194" s="29"/>
      <c r="C194" s="25"/>
      <c r="D194" s="26"/>
      <c r="E194" s="27"/>
      <c r="F194" s="37" t="str">
        <f t="shared" si="7"/>
        <v/>
      </c>
      <c r="G194" s="38" t="str">
        <f t="shared" si="8"/>
        <v/>
      </c>
      <c r="H194" s="28"/>
    </row>
    <row r="195" spans="1:8" x14ac:dyDescent="0.45">
      <c r="A195" s="47" t="str">
        <f t="shared" si="6"/>
        <v/>
      </c>
      <c r="B195" s="48"/>
      <c r="C195" s="49"/>
      <c r="D195" s="50"/>
      <c r="E195" s="51"/>
      <c r="F195" s="52" t="str">
        <f t="shared" si="7"/>
        <v/>
      </c>
      <c r="G195" s="53" t="str">
        <f t="shared" si="8"/>
        <v/>
      </c>
      <c r="H195" s="54"/>
    </row>
    <row r="196" spans="1:8" x14ac:dyDescent="0.45">
      <c r="A196" s="24" t="str">
        <f t="shared" si="6"/>
        <v/>
      </c>
      <c r="B196" s="29"/>
      <c r="C196" s="25"/>
      <c r="D196" s="26"/>
      <c r="E196" s="27"/>
      <c r="F196" s="37" t="str">
        <f t="shared" si="7"/>
        <v/>
      </c>
      <c r="G196" s="38" t="str">
        <f t="shared" si="8"/>
        <v/>
      </c>
      <c r="H196" s="28"/>
    </row>
    <row r="197" spans="1:8" x14ac:dyDescent="0.45">
      <c r="A197" s="47" t="str">
        <f t="shared" si="6"/>
        <v/>
      </c>
      <c r="B197" s="48"/>
      <c r="C197" s="49"/>
      <c r="D197" s="50"/>
      <c r="E197" s="51"/>
      <c r="F197" s="52" t="str">
        <f t="shared" si="7"/>
        <v/>
      </c>
      <c r="G197" s="53" t="str">
        <f t="shared" si="8"/>
        <v/>
      </c>
      <c r="H197" s="54"/>
    </row>
    <row r="198" spans="1:8" x14ac:dyDescent="0.45">
      <c r="A198" s="24" t="str">
        <f t="shared" si="6"/>
        <v/>
      </c>
      <c r="B198" s="29"/>
      <c r="C198" s="25"/>
      <c r="D198" s="26"/>
      <c r="E198" s="27"/>
      <c r="F198" s="37" t="str">
        <f t="shared" si="7"/>
        <v/>
      </c>
      <c r="G198" s="38" t="str">
        <f t="shared" si="8"/>
        <v/>
      </c>
      <c r="H198" s="28"/>
    </row>
    <row r="199" spans="1:8" x14ac:dyDescent="0.45">
      <c r="A199" s="47" t="str">
        <f t="shared" si="6"/>
        <v/>
      </c>
      <c r="B199" s="48"/>
      <c r="C199" s="49"/>
      <c r="D199" s="50"/>
      <c r="E199" s="51"/>
      <c r="F199" s="52" t="str">
        <f t="shared" si="7"/>
        <v/>
      </c>
      <c r="G199" s="53" t="str">
        <f t="shared" si="8"/>
        <v/>
      </c>
      <c r="H199" s="54"/>
    </row>
    <row r="200" spans="1:8" x14ac:dyDescent="0.45">
      <c r="A200" s="24" t="str">
        <f t="shared" si="6"/>
        <v/>
      </c>
      <c r="B200" s="29"/>
      <c r="C200" s="25"/>
      <c r="D200" s="26"/>
      <c r="E200" s="27"/>
      <c r="F200" s="37" t="str">
        <f t="shared" si="7"/>
        <v/>
      </c>
      <c r="G200" s="38" t="str">
        <f t="shared" si="8"/>
        <v/>
      </c>
      <c r="H200" s="28"/>
    </row>
    <row r="201" spans="1:8" x14ac:dyDescent="0.45">
      <c r="A201" s="47" t="str">
        <f t="shared" si="6"/>
        <v/>
      </c>
      <c r="B201" s="48"/>
      <c r="C201" s="49"/>
      <c r="D201" s="50"/>
      <c r="E201" s="51"/>
      <c r="F201" s="52" t="str">
        <f t="shared" si="7"/>
        <v/>
      </c>
      <c r="G201" s="53" t="str">
        <f t="shared" si="8"/>
        <v/>
      </c>
      <c r="H201" s="54"/>
    </row>
    <row r="202" spans="1:8" x14ac:dyDescent="0.45">
      <c r="A202" s="24" t="str">
        <f t="shared" si="6"/>
        <v/>
      </c>
      <c r="B202" s="29"/>
      <c r="C202" s="25"/>
      <c r="D202" s="26"/>
      <c r="E202" s="27"/>
      <c r="F202" s="37" t="str">
        <f t="shared" si="7"/>
        <v/>
      </c>
      <c r="G202" s="38" t="str">
        <f t="shared" si="8"/>
        <v/>
      </c>
      <c r="H202" s="28"/>
    </row>
    <row r="203" spans="1:8" x14ac:dyDescent="0.45">
      <c r="A203" s="47" t="str">
        <f t="shared" ref="A203:A259" si="9">IF(B203="","",ROW()-9)</f>
        <v/>
      </c>
      <c r="B203" s="48"/>
      <c r="C203" s="49"/>
      <c r="D203" s="50"/>
      <c r="E203" s="51"/>
      <c r="F203" s="52" t="str">
        <f t="shared" ref="F203:F259" si="10">IF(B203="","",D203*65000)</f>
        <v/>
      </c>
      <c r="G203" s="53" t="str">
        <f t="shared" ref="G203:G259" si="11">IF(B203="","",E203-F203)</f>
        <v/>
      </c>
      <c r="H203" s="54"/>
    </row>
    <row r="204" spans="1:8" x14ac:dyDescent="0.45">
      <c r="A204" s="24" t="str">
        <f t="shared" si="9"/>
        <v/>
      </c>
      <c r="B204" s="29"/>
      <c r="C204" s="25"/>
      <c r="D204" s="26"/>
      <c r="E204" s="27"/>
      <c r="F204" s="37" t="str">
        <f t="shared" si="10"/>
        <v/>
      </c>
      <c r="G204" s="38" t="str">
        <f t="shared" si="11"/>
        <v/>
      </c>
      <c r="H204" s="28"/>
    </row>
    <row r="205" spans="1:8" x14ac:dyDescent="0.45">
      <c r="A205" s="47" t="str">
        <f t="shared" si="9"/>
        <v/>
      </c>
      <c r="B205" s="48"/>
      <c r="C205" s="49"/>
      <c r="D205" s="50"/>
      <c r="E205" s="51"/>
      <c r="F205" s="52" t="str">
        <f t="shared" si="10"/>
        <v/>
      </c>
      <c r="G205" s="53" t="str">
        <f t="shared" si="11"/>
        <v/>
      </c>
      <c r="H205" s="54"/>
    </row>
    <row r="206" spans="1:8" x14ac:dyDescent="0.45">
      <c r="A206" s="24" t="str">
        <f t="shared" si="9"/>
        <v/>
      </c>
      <c r="B206" s="29"/>
      <c r="C206" s="25"/>
      <c r="D206" s="26"/>
      <c r="E206" s="27"/>
      <c r="F206" s="37" t="str">
        <f t="shared" si="10"/>
        <v/>
      </c>
      <c r="G206" s="38" t="str">
        <f t="shared" si="11"/>
        <v/>
      </c>
      <c r="H206" s="28"/>
    </row>
    <row r="207" spans="1:8" x14ac:dyDescent="0.45">
      <c r="A207" s="47" t="str">
        <f t="shared" si="9"/>
        <v/>
      </c>
      <c r="B207" s="48"/>
      <c r="C207" s="49"/>
      <c r="D207" s="50"/>
      <c r="E207" s="51"/>
      <c r="F207" s="52" t="str">
        <f t="shared" si="10"/>
        <v/>
      </c>
      <c r="G207" s="53" t="str">
        <f t="shared" si="11"/>
        <v/>
      </c>
      <c r="H207" s="54"/>
    </row>
    <row r="208" spans="1:8" x14ac:dyDescent="0.45">
      <c r="A208" s="24" t="str">
        <f t="shared" si="9"/>
        <v/>
      </c>
      <c r="B208" s="29"/>
      <c r="C208" s="25"/>
      <c r="D208" s="26"/>
      <c r="E208" s="27"/>
      <c r="F208" s="37" t="str">
        <f t="shared" si="10"/>
        <v/>
      </c>
      <c r="G208" s="38" t="str">
        <f t="shared" si="11"/>
        <v/>
      </c>
      <c r="H208" s="28"/>
    </row>
    <row r="209" spans="1:8" x14ac:dyDescent="0.45">
      <c r="A209" s="47" t="str">
        <f t="shared" si="9"/>
        <v/>
      </c>
      <c r="B209" s="48"/>
      <c r="C209" s="49"/>
      <c r="D209" s="50"/>
      <c r="E209" s="51"/>
      <c r="F209" s="52" t="str">
        <f t="shared" si="10"/>
        <v/>
      </c>
      <c r="G209" s="53" t="str">
        <f t="shared" si="11"/>
        <v/>
      </c>
      <c r="H209" s="54"/>
    </row>
    <row r="210" spans="1:8" x14ac:dyDescent="0.45">
      <c r="A210" s="24" t="str">
        <f t="shared" si="9"/>
        <v/>
      </c>
      <c r="B210" s="29"/>
      <c r="C210" s="25"/>
      <c r="D210" s="26"/>
      <c r="E210" s="27"/>
      <c r="F210" s="37" t="str">
        <f t="shared" si="10"/>
        <v/>
      </c>
      <c r="G210" s="38" t="str">
        <f t="shared" si="11"/>
        <v/>
      </c>
      <c r="H210" s="28"/>
    </row>
    <row r="211" spans="1:8" x14ac:dyDescent="0.45">
      <c r="A211" s="47" t="str">
        <f t="shared" si="9"/>
        <v/>
      </c>
      <c r="B211" s="48"/>
      <c r="C211" s="49"/>
      <c r="D211" s="50"/>
      <c r="E211" s="51"/>
      <c r="F211" s="52" t="str">
        <f t="shared" si="10"/>
        <v/>
      </c>
      <c r="G211" s="53" t="str">
        <f t="shared" si="11"/>
        <v/>
      </c>
      <c r="H211" s="54"/>
    </row>
    <row r="212" spans="1:8" x14ac:dyDescent="0.45">
      <c r="A212" s="24" t="str">
        <f t="shared" si="9"/>
        <v/>
      </c>
      <c r="B212" s="29"/>
      <c r="C212" s="25"/>
      <c r="D212" s="26"/>
      <c r="E212" s="27"/>
      <c r="F212" s="37" t="str">
        <f t="shared" si="10"/>
        <v/>
      </c>
      <c r="G212" s="38" t="str">
        <f t="shared" si="11"/>
        <v/>
      </c>
      <c r="H212" s="28"/>
    </row>
    <row r="213" spans="1:8" x14ac:dyDescent="0.45">
      <c r="A213" s="47" t="str">
        <f t="shared" si="9"/>
        <v/>
      </c>
      <c r="B213" s="48"/>
      <c r="C213" s="49"/>
      <c r="D213" s="50"/>
      <c r="E213" s="51"/>
      <c r="F213" s="52" t="str">
        <f t="shared" si="10"/>
        <v/>
      </c>
      <c r="G213" s="53" t="str">
        <f t="shared" si="11"/>
        <v/>
      </c>
      <c r="H213" s="54"/>
    </row>
    <row r="214" spans="1:8" x14ac:dyDescent="0.45">
      <c r="A214" s="24" t="str">
        <f t="shared" si="9"/>
        <v/>
      </c>
      <c r="B214" s="29"/>
      <c r="C214" s="25"/>
      <c r="D214" s="26"/>
      <c r="E214" s="27"/>
      <c r="F214" s="37" t="str">
        <f t="shared" si="10"/>
        <v/>
      </c>
      <c r="G214" s="38" t="str">
        <f t="shared" si="11"/>
        <v/>
      </c>
      <c r="H214" s="28"/>
    </row>
    <row r="215" spans="1:8" x14ac:dyDescent="0.45">
      <c r="A215" s="47" t="str">
        <f t="shared" si="9"/>
        <v/>
      </c>
      <c r="B215" s="48"/>
      <c r="C215" s="49"/>
      <c r="D215" s="50"/>
      <c r="E215" s="51"/>
      <c r="F215" s="52" t="str">
        <f t="shared" si="10"/>
        <v/>
      </c>
      <c r="G215" s="53" t="str">
        <f t="shared" si="11"/>
        <v/>
      </c>
      <c r="H215" s="54"/>
    </row>
    <row r="216" spans="1:8" x14ac:dyDescent="0.45">
      <c r="A216" s="24" t="str">
        <f t="shared" si="9"/>
        <v/>
      </c>
      <c r="B216" s="29"/>
      <c r="C216" s="25"/>
      <c r="D216" s="26"/>
      <c r="E216" s="27"/>
      <c r="F216" s="37" t="str">
        <f t="shared" si="10"/>
        <v/>
      </c>
      <c r="G216" s="38" t="str">
        <f t="shared" si="11"/>
        <v/>
      </c>
      <c r="H216" s="28"/>
    </row>
    <row r="217" spans="1:8" x14ac:dyDescent="0.45">
      <c r="A217" s="47" t="str">
        <f t="shared" si="9"/>
        <v/>
      </c>
      <c r="B217" s="48"/>
      <c r="C217" s="49"/>
      <c r="D217" s="50"/>
      <c r="E217" s="51"/>
      <c r="F217" s="52" t="str">
        <f t="shared" si="10"/>
        <v/>
      </c>
      <c r="G217" s="53" t="str">
        <f t="shared" si="11"/>
        <v/>
      </c>
      <c r="H217" s="54"/>
    </row>
    <row r="218" spans="1:8" x14ac:dyDescent="0.45">
      <c r="A218" s="24" t="str">
        <f t="shared" si="9"/>
        <v/>
      </c>
      <c r="B218" s="29"/>
      <c r="C218" s="25"/>
      <c r="D218" s="26"/>
      <c r="E218" s="27"/>
      <c r="F218" s="37" t="str">
        <f t="shared" si="10"/>
        <v/>
      </c>
      <c r="G218" s="38" t="str">
        <f t="shared" si="11"/>
        <v/>
      </c>
      <c r="H218" s="28"/>
    </row>
    <row r="219" spans="1:8" x14ac:dyDescent="0.45">
      <c r="A219" s="47" t="str">
        <f t="shared" si="9"/>
        <v/>
      </c>
      <c r="B219" s="48"/>
      <c r="C219" s="49"/>
      <c r="D219" s="50"/>
      <c r="E219" s="51"/>
      <c r="F219" s="52" t="str">
        <f t="shared" si="10"/>
        <v/>
      </c>
      <c r="G219" s="53" t="str">
        <f t="shared" si="11"/>
        <v/>
      </c>
      <c r="H219" s="54"/>
    </row>
    <row r="220" spans="1:8" x14ac:dyDescent="0.45">
      <c r="A220" s="24" t="str">
        <f t="shared" si="9"/>
        <v/>
      </c>
      <c r="B220" s="29"/>
      <c r="C220" s="25"/>
      <c r="D220" s="26"/>
      <c r="E220" s="27"/>
      <c r="F220" s="37" t="str">
        <f t="shared" si="10"/>
        <v/>
      </c>
      <c r="G220" s="38" t="str">
        <f t="shared" si="11"/>
        <v/>
      </c>
      <c r="H220" s="28"/>
    </row>
    <row r="221" spans="1:8" x14ac:dyDescent="0.45">
      <c r="A221" s="47" t="str">
        <f t="shared" si="9"/>
        <v/>
      </c>
      <c r="B221" s="48"/>
      <c r="C221" s="49"/>
      <c r="D221" s="50"/>
      <c r="E221" s="51"/>
      <c r="F221" s="52" t="str">
        <f t="shared" si="10"/>
        <v/>
      </c>
      <c r="G221" s="53" t="str">
        <f t="shared" si="11"/>
        <v/>
      </c>
      <c r="H221" s="54"/>
    </row>
    <row r="222" spans="1:8" x14ac:dyDescent="0.45">
      <c r="A222" s="24" t="str">
        <f t="shared" si="9"/>
        <v/>
      </c>
      <c r="B222" s="29"/>
      <c r="C222" s="25"/>
      <c r="D222" s="26"/>
      <c r="E222" s="27"/>
      <c r="F222" s="37" t="str">
        <f t="shared" si="10"/>
        <v/>
      </c>
      <c r="G222" s="38" t="str">
        <f t="shared" si="11"/>
        <v/>
      </c>
      <c r="H222" s="28"/>
    </row>
    <row r="223" spans="1:8" x14ac:dyDescent="0.45">
      <c r="A223" s="47" t="str">
        <f t="shared" si="9"/>
        <v/>
      </c>
      <c r="B223" s="48"/>
      <c r="C223" s="49"/>
      <c r="D223" s="50"/>
      <c r="E223" s="51"/>
      <c r="F223" s="52" t="str">
        <f t="shared" si="10"/>
        <v/>
      </c>
      <c r="G223" s="53" t="str">
        <f t="shared" si="11"/>
        <v/>
      </c>
      <c r="H223" s="54"/>
    </row>
    <row r="224" spans="1:8" x14ac:dyDescent="0.45">
      <c r="A224" s="24" t="str">
        <f t="shared" si="9"/>
        <v/>
      </c>
      <c r="B224" s="29"/>
      <c r="C224" s="25"/>
      <c r="D224" s="26"/>
      <c r="E224" s="27"/>
      <c r="F224" s="37" t="str">
        <f t="shared" si="10"/>
        <v/>
      </c>
      <c r="G224" s="38" t="str">
        <f t="shared" si="11"/>
        <v/>
      </c>
      <c r="H224" s="28"/>
    </row>
    <row r="225" spans="1:8" x14ac:dyDescent="0.45">
      <c r="A225" s="47" t="str">
        <f t="shared" si="9"/>
        <v/>
      </c>
      <c r="B225" s="48"/>
      <c r="C225" s="49"/>
      <c r="D225" s="50"/>
      <c r="E225" s="51"/>
      <c r="F225" s="52" t="str">
        <f t="shared" si="10"/>
        <v/>
      </c>
      <c r="G225" s="53" t="str">
        <f t="shared" si="11"/>
        <v/>
      </c>
      <c r="H225" s="54"/>
    </row>
    <row r="226" spans="1:8" x14ac:dyDescent="0.45">
      <c r="A226" s="24" t="str">
        <f t="shared" si="9"/>
        <v/>
      </c>
      <c r="B226" s="29"/>
      <c r="C226" s="25"/>
      <c r="D226" s="26"/>
      <c r="E226" s="27"/>
      <c r="F226" s="37" t="str">
        <f t="shared" si="10"/>
        <v/>
      </c>
      <c r="G226" s="38" t="str">
        <f t="shared" si="11"/>
        <v/>
      </c>
      <c r="H226" s="28"/>
    </row>
    <row r="227" spans="1:8" x14ac:dyDescent="0.45">
      <c r="A227" s="47" t="str">
        <f t="shared" si="9"/>
        <v/>
      </c>
      <c r="B227" s="48"/>
      <c r="C227" s="49"/>
      <c r="D227" s="50"/>
      <c r="E227" s="51"/>
      <c r="F227" s="52" t="str">
        <f t="shared" si="10"/>
        <v/>
      </c>
      <c r="G227" s="53" t="str">
        <f t="shared" si="11"/>
        <v/>
      </c>
      <c r="H227" s="54"/>
    </row>
    <row r="228" spans="1:8" x14ac:dyDescent="0.45">
      <c r="A228" s="24" t="str">
        <f t="shared" si="9"/>
        <v/>
      </c>
      <c r="B228" s="29"/>
      <c r="C228" s="25"/>
      <c r="D228" s="26"/>
      <c r="E228" s="27"/>
      <c r="F228" s="37" t="str">
        <f t="shared" si="10"/>
        <v/>
      </c>
      <c r="G228" s="38" t="str">
        <f t="shared" si="11"/>
        <v/>
      </c>
      <c r="H228" s="28"/>
    </row>
    <row r="229" spans="1:8" x14ac:dyDescent="0.45">
      <c r="A229" s="47" t="str">
        <f t="shared" si="9"/>
        <v/>
      </c>
      <c r="B229" s="48"/>
      <c r="C229" s="49"/>
      <c r="D229" s="50"/>
      <c r="E229" s="51"/>
      <c r="F229" s="52" t="str">
        <f t="shared" si="10"/>
        <v/>
      </c>
      <c r="G229" s="53" t="str">
        <f t="shared" si="11"/>
        <v/>
      </c>
      <c r="H229" s="54"/>
    </row>
    <row r="230" spans="1:8" x14ac:dyDescent="0.45">
      <c r="A230" s="24" t="str">
        <f t="shared" si="9"/>
        <v/>
      </c>
      <c r="B230" s="29"/>
      <c r="C230" s="25"/>
      <c r="D230" s="26"/>
      <c r="E230" s="27"/>
      <c r="F230" s="37" t="str">
        <f t="shared" si="10"/>
        <v/>
      </c>
      <c r="G230" s="38" t="str">
        <f t="shared" si="11"/>
        <v/>
      </c>
      <c r="H230" s="28"/>
    </row>
    <row r="231" spans="1:8" x14ac:dyDescent="0.45">
      <c r="A231" s="47" t="str">
        <f t="shared" si="9"/>
        <v/>
      </c>
      <c r="B231" s="48"/>
      <c r="C231" s="49"/>
      <c r="D231" s="50"/>
      <c r="E231" s="51"/>
      <c r="F231" s="52" t="str">
        <f t="shared" si="10"/>
        <v/>
      </c>
      <c r="G231" s="53" t="str">
        <f t="shared" si="11"/>
        <v/>
      </c>
      <c r="H231" s="54"/>
    </row>
    <row r="232" spans="1:8" x14ac:dyDescent="0.45">
      <c r="A232" s="24" t="str">
        <f t="shared" si="9"/>
        <v/>
      </c>
      <c r="B232" s="29"/>
      <c r="C232" s="25"/>
      <c r="D232" s="26"/>
      <c r="E232" s="27"/>
      <c r="F232" s="37" t="str">
        <f t="shared" si="10"/>
        <v/>
      </c>
      <c r="G232" s="38" t="str">
        <f t="shared" si="11"/>
        <v/>
      </c>
      <c r="H232" s="28"/>
    </row>
    <row r="233" spans="1:8" x14ac:dyDescent="0.45">
      <c r="A233" s="47" t="str">
        <f t="shared" si="9"/>
        <v/>
      </c>
      <c r="B233" s="48"/>
      <c r="C233" s="49"/>
      <c r="D233" s="50"/>
      <c r="E233" s="51"/>
      <c r="F233" s="52" t="str">
        <f t="shared" si="10"/>
        <v/>
      </c>
      <c r="G233" s="53" t="str">
        <f t="shared" si="11"/>
        <v/>
      </c>
      <c r="H233" s="54"/>
    </row>
    <row r="234" spans="1:8" x14ac:dyDescent="0.45">
      <c r="A234" s="24" t="str">
        <f t="shared" si="9"/>
        <v/>
      </c>
      <c r="B234" s="29"/>
      <c r="C234" s="25"/>
      <c r="D234" s="26"/>
      <c r="E234" s="27"/>
      <c r="F234" s="37" t="str">
        <f t="shared" si="10"/>
        <v/>
      </c>
      <c r="G234" s="38" t="str">
        <f t="shared" si="11"/>
        <v/>
      </c>
      <c r="H234" s="28"/>
    </row>
    <row r="235" spans="1:8" x14ac:dyDescent="0.45">
      <c r="A235" s="47" t="str">
        <f t="shared" si="9"/>
        <v/>
      </c>
      <c r="B235" s="48"/>
      <c r="C235" s="49"/>
      <c r="D235" s="50"/>
      <c r="E235" s="51"/>
      <c r="F235" s="52" t="str">
        <f t="shared" si="10"/>
        <v/>
      </c>
      <c r="G235" s="53" t="str">
        <f t="shared" si="11"/>
        <v/>
      </c>
      <c r="H235" s="54"/>
    </row>
    <row r="236" spans="1:8" x14ac:dyDescent="0.45">
      <c r="A236" s="24" t="str">
        <f t="shared" si="9"/>
        <v/>
      </c>
      <c r="B236" s="29"/>
      <c r="C236" s="25"/>
      <c r="D236" s="26"/>
      <c r="E236" s="27"/>
      <c r="F236" s="37" t="str">
        <f t="shared" si="10"/>
        <v/>
      </c>
      <c r="G236" s="38" t="str">
        <f t="shared" si="11"/>
        <v/>
      </c>
      <c r="H236" s="28"/>
    </row>
    <row r="237" spans="1:8" x14ac:dyDescent="0.45">
      <c r="A237" s="47" t="str">
        <f t="shared" si="9"/>
        <v/>
      </c>
      <c r="B237" s="48"/>
      <c r="C237" s="49"/>
      <c r="D237" s="50"/>
      <c r="E237" s="51"/>
      <c r="F237" s="52" t="str">
        <f t="shared" si="10"/>
        <v/>
      </c>
      <c r="G237" s="53" t="str">
        <f t="shared" si="11"/>
        <v/>
      </c>
      <c r="H237" s="54"/>
    </row>
    <row r="238" spans="1:8" x14ac:dyDescent="0.45">
      <c r="A238" s="24" t="str">
        <f t="shared" si="9"/>
        <v/>
      </c>
      <c r="B238" s="29"/>
      <c r="C238" s="25"/>
      <c r="D238" s="26"/>
      <c r="E238" s="27"/>
      <c r="F238" s="37" t="str">
        <f t="shared" si="10"/>
        <v/>
      </c>
      <c r="G238" s="38" t="str">
        <f t="shared" si="11"/>
        <v/>
      </c>
      <c r="H238" s="28"/>
    </row>
    <row r="239" spans="1:8" x14ac:dyDescent="0.45">
      <c r="A239" s="47" t="str">
        <f t="shared" si="9"/>
        <v/>
      </c>
      <c r="B239" s="48"/>
      <c r="C239" s="49"/>
      <c r="D239" s="50"/>
      <c r="E239" s="51"/>
      <c r="F239" s="52" t="str">
        <f t="shared" si="10"/>
        <v/>
      </c>
      <c r="G239" s="53" t="str">
        <f t="shared" si="11"/>
        <v/>
      </c>
      <c r="H239" s="54"/>
    </row>
    <row r="240" spans="1:8" x14ac:dyDescent="0.45">
      <c r="A240" s="24" t="str">
        <f t="shared" si="9"/>
        <v/>
      </c>
      <c r="B240" s="29"/>
      <c r="C240" s="25"/>
      <c r="D240" s="26"/>
      <c r="E240" s="27"/>
      <c r="F240" s="37" t="str">
        <f t="shared" si="10"/>
        <v/>
      </c>
      <c r="G240" s="38" t="str">
        <f t="shared" si="11"/>
        <v/>
      </c>
      <c r="H240" s="28"/>
    </row>
    <row r="241" spans="1:8" x14ac:dyDescent="0.45">
      <c r="A241" s="47" t="str">
        <f t="shared" si="9"/>
        <v/>
      </c>
      <c r="B241" s="48"/>
      <c r="C241" s="49"/>
      <c r="D241" s="50"/>
      <c r="E241" s="51"/>
      <c r="F241" s="52" t="str">
        <f t="shared" si="10"/>
        <v/>
      </c>
      <c r="G241" s="53" t="str">
        <f t="shared" si="11"/>
        <v/>
      </c>
      <c r="H241" s="54"/>
    </row>
    <row r="242" spans="1:8" x14ac:dyDescent="0.45">
      <c r="A242" s="24" t="str">
        <f t="shared" si="9"/>
        <v/>
      </c>
      <c r="B242" s="29"/>
      <c r="C242" s="25"/>
      <c r="D242" s="26"/>
      <c r="E242" s="27"/>
      <c r="F242" s="37" t="str">
        <f t="shared" si="10"/>
        <v/>
      </c>
      <c r="G242" s="38" t="str">
        <f t="shared" si="11"/>
        <v/>
      </c>
      <c r="H242" s="28"/>
    </row>
    <row r="243" spans="1:8" x14ac:dyDescent="0.45">
      <c r="A243" s="47" t="str">
        <f t="shared" si="9"/>
        <v/>
      </c>
      <c r="B243" s="48"/>
      <c r="C243" s="49"/>
      <c r="D243" s="50"/>
      <c r="E243" s="51"/>
      <c r="F243" s="52" t="str">
        <f t="shared" si="10"/>
        <v/>
      </c>
      <c r="G243" s="53" t="str">
        <f t="shared" si="11"/>
        <v/>
      </c>
      <c r="H243" s="54"/>
    </row>
    <row r="244" spans="1:8" x14ac:dyDescent="0.45">
      <c r="A244" s="24" t="str">
        <f t="shared" si="9"/>
        <v/>
      </c>
      <c r="B244" s="29"/>
      <c r="C244" s="25"/>
      <c r="D244" s="26"/>
      <c r="E244" s="27"/>
      <c r="F244" s="37" t="str">
        <f t="shared" si="10"/>
        <v/>
      </c>
      <c r="G244" s="38" t="str">
        <f t="shared" si="11"/>
        <v/>
      </c>
      <c r="H244" s="28"/>
    </row>
    <row r="245" spans="1:8" x14ac:dyDescent="0.45">
      <c r="A245" s="47" t="str">
        <f t="shared" si="9"/>
        <v/>
      </c>
      <c r="B245" s="48"/>
      <c r="C245" s="49"/>
      <c r="D245" s="50"/>
      <c r="E245" s="51"/>
      <c r="F245" s="52" t="str">
        <f t="shared" si="10"/>
        <v/>
      </c>
      <c r="G245" s="53" t="str">
        <f t="shared" si="11"/>
        <v/>
      </c>
      <c r="H245" s="54"/>
    </row>
    <row r="246" spans="1:8" x14ac:dyDescent="0.45">
      <c r="A246" s="24" t="str">
        <f t="shared" si="9"/>
        <v/>
      </c>
      <c r="B246" s="29"/>
      <c r="C246" s="25"/>
      <c r="D246" s="26"/>
      <c r="E246" s="27"/>
      <c r="F246" s="37" t="str">
        <f t="shared" si="10"/>
        <v/>
      </c>
      <c r="G246" s="38" t="str">
        <f t="shared" si="11"/>
        <v/>
      </c>
      <c r="H246" s="28"/>
    </row>
    <row r="247" spans="1:8" x14ac:dyDescent="0.45">
      <c r="A247" s="47" t="str">
        <f t="shared" si="9"/>
        <v/>
      </c>
      <c r="B247" s="48"/>
      <c r="C247" s="49"/>
      <c r="D247" s="50"/>
      <c r="E247" s="51"/>
      <c r="F247" s="52" t="str">
        <f t="shared" si="10"/>
        <v/>
      </c>
      <c r="G247" s="53" t="str">
        <f t="shared" si="11"/>
        <v/>
      </c>
      <c r="H247" s="54"/>
    </row>
    <row r="248" spans="1:8" x14ac:dyDescent="0.45">
      <c r="A248" s="24" t="str">
        <f t="shared" si="9"/>
        <v/>
      </c>
      <c r="B248" s="29"/>
      <c r="C248" s="25"/>
      <c r="D248" s="26"/>
      <c r="E248" s="27"/>
      <c r="F248" s="37" t="str">
        <f t="shared" si="10"/>
        <v/>
      </c>
      <c r="G248" s="38" t="str">
        <f t="shared" si="11"/>
        <v/>
      </c>
      <c r="H248" s="28"/>
    </row>
    <row r="249" spans="1:8" x14ac:dyDescent="0.45">
      <c r="A249" s="47" t="str">
        <f t="shared" si="9"/>
        <v/>
      </c>
      <c r="B249" s="48"/>
      <c r="C249" s="49"/>
      <c r="D249" s="50"/>
      <c r="E249" s="51"/>
      <c r="F249" s="52" t="str">
        <f t="shared" si="10"/>
        <v/>
      </c>
      <c r="G249" s="53" t="str">
        <f t="shared" si="11"/>
        <v/>
      </c>
      <c r="H249" s="54"/>
    </row>
    <row r="250" spans="1:8" x14ac:dyDescent="0.45">
      <c r="A250" s="24" t="str">
        <f t="shared" si="9"/>
        <v/>
      </c>
      <c r="B250" s="29"/>
      <c r="C250" s="25"/>
      <c r="D250" s="26"/>
      <c r="E250" s="27"/>
      <c r="F250" s="37" t="str">
        <f t="shared" si="10"/>
        <v/>
      </c>
      <c r="G250" s="38" t="str">
        <f t="shared" si="11"/>
        <v/>
      </c>
      <c r="H250" s="28"/>
    </row>
    <row r="251" spans="1:8" x14ac:dyDescent="0.45">
      <c r="A251" s="47" t="str">
        <f t="shared" si="9"/>
        <v/>
      </c>
      <c r="B251" s="48"/>
      <c r="C251" s="49"/>
      <c r="D251" s="50"/>
      <c r="E251" s="51"/>
      <c r="F251" s="52" t="str">
        <f t="shared" si="10"/>
        <v/>
      </c>
      <c r="G251" s="53" t="str">
        <f t="shared" si="11"/>
        <v/>
      </c>
      <c r="H251" s="54"/>
    </row>
    <row r="252" spans="1:8" x14ac:dyDescent="0.45">
      <c r="A252" s="24" t="str">
        <f t="shared" si="9"/>
        <v/>
      </c>
      <c r="B252" s="29"/>
      <c r="C252" s="25"/>
      <c r="D252" s="26"/>
      <c r="E252" s="27"/>
      <c r="F252" s="37" t="str">
        <f t="shared" si="10"/>
        <v/>
      </c>
      <c r="G252" s="38" t="str">
        <f t="shared" si="11"/>
        <v/>
      </c>
      <c r="H252" s="28"/>
    </row>
    <row r="253" spans="1:8" x14ac:dyDescent="0.45">
      <c r="A253" s="47" t="str">
        <f t="shared" si="9"/>
        <v/>
      </c>
      <c r="B253" s="48"/>
      <c r="C253" s="49"/>
      <c r="D253" s="50"/>
      <c r="E253" s="51"/>
      <c r="F253" s="52" t="str">
        <f t="shared" si="10"/>
        <v/>
      </c>
      <c r="G253" s="53" t="str">
        <f t="shared" si="11"/>
        <v/>
      </c>
      <c r="H253" s="54"/>
    </row>
    <row r="254" spans="1:8" x14ac:dyDescent="0.45">
      <c r="A254" s="24" t="str">
        <f t="shared" si="9"/>
        <v/>
      </c>
      <c r="B254" s="29"/>
      <c r="C254" s="25"/>
      <c r="D254" s="26"/>
      <c r="E254" s="27"/>
      <c r="F254" s="37" t="str">
        <f t="shared" si="10"/>
        <v/>
      </c>
      <c r="G254" s="38" t="str">
        <f t="shared" si="11"/>
        <v/>
      </c>
      <c r="H254" s="28"/>
    </row>
    <row r="255" spans="1:8" x14ac:dyDescent="0.45">
      <c r="A255" s="47" t="str">
        <f t="shared" si="9"/>
        <v/>
      </c>
      <c r="B255" s="48"/>
      <c r="C255" s="49"/>
      <c r="D255" s="50"/>
      <c r="E255" s="51"/>
      <c r="F255" s="52" t="str">
        <f t="shared" si="10"/>
        <v/>
      </c>
      <c r="G255" s="53" t="str">
        <f t="shared" si="11"/>
        <v/>
      </c>
      <c r="H255" s="54"/>
    </row>
    <row r="256" spans="1:8" x14ac:dyDescent="0.45">
      <c r="A256" s="24" t="str">
        <f t="shared" si="9"/>
        <v/>
      </c>
      <c r="B256" s="29"/>
      <c r="C256" s="25"/>
      <c r="D256" s="26"/>
      <c r="E256" s="27"/>
      <c r="F256" s="37" t="str">
        <f t="shared" si="10"/>
        <v/>
      </c>
      <c r="G256" s="38" t="str">
        <f t="shared" si="11"/>
        <v/>
      </c>
      <c r="H256" s="28"/>
    </row>
    <row r="257" spans="1:8" x14ac:dyDescent="0.45">
      <c r="A257" s="47" t="str">
        <f t="shared" si="9"/>
        <v/>
      </c>
      <c r="B257" s="48"/>
      <c r="C257" s="49"/>
      <c r="D257" s="50"/>
      <c r="E257" s="51"/>
      <c r="F257" s="52" t="str">
        <f t="shared" si="10"/>
        <v/>
      </c>
      <c r="G257" s="53" t="str">
        <f t="shared" si="11"/>
        <v/>
      </c>
      <c r="H257" s="54"/>
    </row>
    <row r="258" spans="1:8" x14ac:dyDescent="0.45">
      <c r="A258" s="24" t="str">
        <f t="shared" si="9"/>
        <v/>
      </c>
      <c r="B258" s="29"/>
      <c r="C258" s="25"/>
      <c r="D258" s="26"/>
      <c r="E258" s="27"/>
      <c r="F258" s="37" t="str">
        <f t="shared" si="10"/>
        <v/>
      </c>
      <c r="G258" s="38" t="str">
        <f t="shared" si="11"/>
        <v/>
      </c>
      <c r="H258" s="28"/>
    </row>
    <row r="259" spans="1:8" ht="17.5" thickBot="1" x14ac:dyDescent="0.5">
      <c r="A259" s="55" t="str">
        <f t="shared" si="9"/>
        <v/>
      </c>
      <c r="B259" s="56"/>
      <c r="C259" s="57"/>
      <c r="D259" s="58"/>
      <c r="E259" s="59"/>
      <c r="F259" s="60" t="str">
        <f t="shared" si="10"/>
        <v/>
      </c>
      <c r="G259" s="61" t="str">
        <f t="shared" si="11"/>
        <v/>
      </c>
      <c r="H259" s="62"/>
    </row>
  </sheetData>
  <mergeCells count="6">
    <mergeCell ref="A7:H7"/>
    <mergeCell ref="A1:H2"/>
    <mergeCell ref="D4:E4"/>
    <mergeCell ref="G4:H4"/>
    <mergeCell ref="D5:E5"/>
    <mergeCell ref="G5:H5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FA3CD-8101-4621-9801-10ABC592571C}">
  <dimension ref="A1:H259"/>
  <sheetViews>
    <sheetView workbookViewId="0">
      <selection activeCell="J13" sqref="J13"/>
    </sheetView>
  </sheetViews>
  <sheetFormatPr defaultRowHeight="17" x14ac:dyDescent="0.45"/>
  <cols>
    <col min="1" max="1" width="5.83203125" customWidth="1"/>
    <col min="2" max="2" width="18.33203125" customWidth="1"/>
    <col min="3" max="3" width="10.83203125" customWidth="1"/>
    <col min="4" max="4" width="11.6640625" customWidth="1"/>
    <col min="5" max="5" width="20" customWidth="1"/>
    <col min="6" max="6" width="18.33203125" customWidth="1"/>
    <col min="7" max="7" width="21.6640625" customWidth="1"/>
    <col min="8" max="8" width="23.33203125" customWidth="1"/>
  </cols>
  <sheetData>
    <row r="1" spans="1:8" ht="30" customHeight="1" x14ac:dyDescent="0.45">
      <c r="A1" s="161" t="s">
        <v>101</v>
      </c>
      <c r="B1" s="161"/>
      <c r="C1" s="161"/>
      <c r="D1" s="161"/>
      <c r="E1" s="161"/>
      <c r="F1" s="161"/>
      <c r="G1" s="161"/>
      <c r="H1" s="161"/>
    </row>
    <row r="2" spans="1:8" ht="30" customHeight="1" x14ac:dyDescent="0.45">
      <c r="A2" s="161"/>
      <c r="B2" s="161"/>
      <c r="C2" s="161"/>
      <c r="D2" s="161"/>
      <c r="E2" s="161"/>
      <c r="F2" s="161"/>
      <c r="G2" s="161"/>
      <c r="H2" s="161"/>
    </row>
    <row r="3" spans="1:8" ht="17.5" thickBot="1" x14ac:dyDescent="0.5"/>
    <row r="4" spans="1:8" ht="26" customHeight="1" x14ac:dyDescent="0.45">
      <c r="A4" s="63" t="s">
        <v>83</v>
      </c>
      <c r="B4" s="64" t="s">
        <v>81</v>
      </c>
      <c r="C4" s="64" t="s">
        <v>82</v>
      </c>
      <c r="D4" s="162" t="s">
        <v>93</v>
      </c>
      <c r="E4" s="162"/>
      <c r="F4" s="65" t="s">
        <v>91</v>
      </c>
      <c r="G4" s="163" t="s">
        <v>94</v>
      </c>
      <c r="H4" s="164"/>
    </row>
    <row r="5" spans="1:8" ht="32" customHeight="1" thickBot="1" x14ac:dyDescent="0.5">
      <c r="A5" s="66">
        <f>COUNTIFS(B10:B500,"&lt;&gt;")</f>
        <v>1</v>
      </c>
      <c r="B5" s="67">
        <f>SUM(C10:C500)</f>
        <v>1</v>
      </c>
      <c r="C5" s="68">
        <f>SUM(D10:D500)</f>
        <v>1</v>
      </c>
      <c r="D5" s="165">
        <f>SUM(E10:E500)</f>
        <v>100000</v>
      </c>
      <c r="E5" s="165"/>
      <c r="F5" s="69">
        <f>C5*65000</f>
        <v>65000</v>
      </c>
      <c r="G5" s="166">
        <f>D5-F5</f>
        <v>35000</v>
      </c>
      <c r="H5" s="167"/>
    </row>
    <row r="7" spans="1:8" x14ac:dyDescent="0.45">
      <c r="A7" s="153" t="s">
        <v>104</v>
      </c>
      <c r="B7" s="153"/>
      <c r="C7" s="153"/>
      <c r="D7" s="153"/>
      <c r="E7" s="153"/>
      <c r="F7" s="153"/>
      <c r="G7" s="153"/>
      <c r="H7" s="153"/>
    </row>
    <row r="8" spans="1:8" ht="17.5" thickBot="1" x14ac:dyDescent="0.5"/>
    <row r="9" spans="1:8" ht="28" customHeight="1" x14ac:dyDescent="0.45">
      <c r="A9" s="70" t="s">
        <v>87</v>
      </c>
      <c r="B9" s="71" t="s">
        <v>88</v>
      </c>
      <c r="C9" s="71" t="s">
        <v>81</v>
      </c>
      <c r="D9" s="71" t="s">
        <v>89</v>
      </c>
      <c r="E9" s="71" t="s">
        <v>105</v>
      </c>
      <c r="F9" s="71" t="s">
        <v>91</v>
      </c>
      <c r="G9" s="71" t="s">
        <v>95</v>
      </c>
      <c r="H9" s="72" t="s">
        <v>90</v>
      </c>
    </row>
    <row r="10" spans="1:8" x14ac:dyDescent="0.45">
      <c r="A10" s="24">
        <f>IF(B10="","",ROW()-9)</f>
        <v>1</v>
      </c>
      <c r="B10" s="29" t="s">
        <v>103</v>
      </c>
      <c r="C10" s="25">
        <v>1</v>
      </c>
      <c r="D10" s="26">
        <v>1</v>
      </c>
      <c r="E10" s="27">
        <v>100000</v>
      </c>
      <c r="F10" s="37">
        <f>IF(B10="","",D10*65000)</f>
        <v>65000</v>
      </c>
      <c r="G10" s="38">
        <f>IF(B10="","",E10-F10)</f>
        <v>35000</v>
      </c>
      <c r="H10" s="28"/>
    </row>
    <row r="11" spans="1:8" x14ac:dyDescent="0.45">
      <c r="A11" s="47" t="str">
        <f t="shared" ref="A11:A74" si="0">IF(B11="","",ROW()-9)</f>
        <v/>
      </c>
      <c r="B11" s="48"/>
      <c r="C11" s="49"/>
      <c r="D11" s="50"/>
      <c r="E11" s="51"/>
      <c r="F11" s="52" t="str">
        <f t="shared" ref="F11:F74" si="1">IF(B11="","",D11*65000)</f>
        <v/>
      </c>
      <c r="G11" s="53" t="str">
        <f t="shared" ref="G11:G74" si="2">IF(B11="","",E11-F11)</f>
        <v/>
      </c>
      <c r="H11" s="54"/>
    </row>
    <row r="12" spans="1:8" x14ac:dyDescent="0.45">
      <c r="A12" s="24" t="str">
        <f t="shared" si="0"/>
        <v/>
      </c>
      <c r="B12" s="29"/>
      <c r="C12" s="25"/>
      <c r="D12" s="26"/>
      <c r="E12" s="27"/>
      <c r="F12" s="37" t="str">
        <f t="shared" si="1"/>
        <v/>
      </c>
      <c r="G12" s="38" t="str">
        <f t="shared" si="2"/>
        <v/>
      </c>
      <c r="H12" s="28"/>
    </row>
    <row r="13" spans="1:8" x14ac:dyDescent="0.45">
      <c r="A13" s="47" t="str">
        <f t="shared" si="0"/>
        <v/>
      </c>
      <c r="B13" s="48"/>
      <c r="C13" s="49"/>
      <c r="D13" s="50"/>
      <c r="E13" s="51"/>
      <c r="F13" s="52" t="str">
        <f t="shared" si="1"/>
        <v/>
      </c>
      <c r="G13" s="53" t="str">
        <f t="shared" si="2"/>
        <v/>
      </c>
      <c r="H13" s="54"/>
    </row>
    <row r="14" spans="1:8" x14ac:dyDescent="0.45">
      <c r="A14" s="24" t="str">
        <f t="shared" si="0"/>
        <v/>
      </c>
      <c r="B14" s="29"/>
      <c r="C14" s="25"/>
      <c r="D14" s="26"/>
      <c r="E14" s="27"/>
      <c r="F14" s="37" t="str">
        <f t="shared" si="1"/>
        <v/>
      </c>
      <c r="G14" s="38" t="str">
        <f t="shared" si="2"/>
        <v/>
      </c>
      <c r="H14" s="28"/>
    </row>
    <row r="15" spans="1:8" x14ac:dyDescent="0.45">
      <c r="A15" s="47" t="str">
        <f t="shared" si="0"/>
        <v/>
      </c>
      <c r="B15" s="48"/>
      <c r="C15" s="49"/>
      <c r="D15" s="50"/>
      <c r="E15" s="51"/>
      <c r="F15" s="52" t="str">
        <f t="shared" si="1"/>
        <v/>
      </c>
      <c r="G15" s="53" t="str">
        <f t="shared" si="2"/>
        <v/>
      </c>
      <c r="H15" s="54"/>
    </row>
    <row r="16" spans="1:8" x14ac:dyDescent="0.45">
      <c r="A16" s="24" t="str">
        <f t="shared" si="0"/>
        <v/>
      </c>
      <c r="B16" s="29"/>
      <c r="C16" s="25"/>
      <c r="D16" s="26"/>
      <c r="E16" s="27"/>
      <c r="F16" s="37" t="str">
        <f t="shared" si="1"/>
        <v/>
      </c>
      <c r="G16" s="38" t="str">
        <f t="shared" si="2"/>
        <v/>
      </c>
      <c r="H16" s="28"/>
    </row>
    <row r="17" spans="1:8" x14ac:dyDescent="0.45">
      <c r="A17" s="47" t="str">
        <f t="shared" si="0"/>
        <v/>
      </c>
      <c r="B17" s="48"/>
      <c r="C17" s="49"/>
      <c r="D17" s="50"/>
      <c r="E17" s="51"/>
      <c r="F17" s="52" t="str">
        <f t="shared" si="1"/>
        <v/>
      </c>
      <c r="G17" s="53" t="str">
        <f t="shared" si="2"/>
        <v/>
      </c>
      <c r="H17" s="54"/>
    </row>
    <row r="18" spans="1:8" x14ac:dyDescent="0.45">
      <c r="A18" s="24" t="str">
        <f t="shared" si="0"/>
        <v/>
      </c>
      <c r="B18" s="29"/>
      <c r="C18" s="25"/>
      <c r="D18" s="26"/>
      <c r="E18" s="27"/>
      <c r="F18" s="37" t="str">
        <f t="shared" si="1"/>
        <v/>
      </c>
      <c r="G18" s="38" t="str">
        <f t="shared" si="2"/>
        <v/>
      </c>
      <c r="H18" s="28"/>
    </row>
    <row r="19" spans="1:8" x14ac:dyDescent="0.45">
      <c r="A19" s="47" t="str">
        <f t="shared" si="0"/>
        <v/>
      </c>
      <c r="B19" s="48"/>
      <c r="C19" s="49"/>
      <c r="D19" s="50"/>
      <c r="E19" s="51"/>
      <c r="F19" s="52" t="str">
        <f t="shared" si="1"/>
        <v/>
      </c>
      <c r="G19" s="53" t="str">
        <f t="shared" si="2"/>
        <v/>
      </c>
      <c r="H19" s="54"/>
    </row>
    <row r="20" spans="1:8" x14ac:dyDescent="0.45">
      <c r="A20" s="24" t="str">
        <f t="shared" si="0"/>
        <v/>
      </c>
      <c r="B20" s="29"/>
      <c r="C20" s="25"/>
      <c r="D20" s="26"/>
      <c r="E20" s="27"/>
      <c r="F20" s="37" t="str">
        <f t="shared" si="1"/>
        <v/>
      </c>
      <c r="G20" s="38" t="str">
        <f t="shared" si="2"/>
        <v/>
      </c>
      <c r="H20" s="28"/>
    </row>
    <row r="21" spans="1:8" x14ac:dyDescent="0.45">
      <c r="A21" s="47" t="str">
        <f t="shared" si="0"/>
        <v/>
      </c>
      <c r="B21" s="48"/>
      <c r="C21" s="49"/>
      <c r="D21" s="50"/>
      <c r="E21" s="51"/>
      <c r="F21" s="52" t="str">
        <f t="shared" si="1"/>
        <v/>
      </c>
      <c r="G21" s="53" t="str">
        <f t="shared" si="2"/>
        <v/>
      </c>
      <c r="H21" s="54"/>
    </row>
    <row r="22" spans="1:8" x14ac:dyDescent="0.45">
      <c r="A22" s="24" t="str">
        <f t="shared" si="0"/>
        <v/>
      </c>
      <c r="B22" s="29"/>
      <c r="C22" s="25"/>
      <c r="D22" s="26"/>
      <c r="E22" s="27"/>
      <c r="F22" s="37" t="str">
        <f t="shared" si="1"/>
        <v/>
      </c>
      <c r="G22" s="38" t="str">
        <f t="shared" si="2"/>
        <v/>
      </c>
      <c r="H22" s="28"/>
    </row>
    <row r="23" spans="1:8" x14ac:dyDescent="0.45">
      <c r="A23" s="47" t="str">
        <f t="shared" si="0"/>
        <v/>
      </c>
      <c r="B23" s="48"/>
      <c r="C23" s="49"/>
      <c r="D23" s="50"/>
      <c r="E23" s="51"/>
      <c r="F23" s="52" t="str">
        <f t="shared" si="1"/>
        <v/>
      </c>
      <c r="G23" s="53" t="str">
        <f t="shared" si="2"/>
        <v/>
      </c>
      <c r="H23" s="54"/>
    </row>
    <row r="24" spans="1:8" x14ac:dyDescent="0.45">
      <c r="A24" s="24" t="str">
        <f t="shared" si="0"/>
        <v/>
      </c>
      <c r="B24" s="29"/>
      <c r="C24" s="25"/>
      <c r="D24" s="26"/>
      <c r="E24" s="27"/>
      <c r="F24" s="37" t="str">
        <f t="shared" si="1"/>
        <v/>
      </c>
      <c r="G24" s="38" t="str">
        <f t="shared" si="2"/>
        <v/>
      </c>
      <c r="H24" s="28"/>
    </row>
    <row r="25" spans="1:8" x14ac:dyDescent="0.45">
      <c r="A25" s="47" t="str">
        <f t="shared" si="0"/>
        <v/>
      </c>
      <c r="B25" s="48"/>
      <c r="C25" s="49"/>
      <c r="D25" s="50"/>
      <c r="E25" s="51"/>
      <c r="F25" s="52" t="str">
        <f t="shared" si="1"/>
        <v/>
      </c>
      <c r="G25" s="53" t="str">
        <f t="shared" si="2"/>
        <v/>
      </c>
      <c r="H25" s="54"/>
    </row>
    <row r="26" spans="1:8" x14ac:dyDescent="0.45">
      <c r="A26" s="24" t="str">
        <f t="shared" si="0"/>
        <v/>
      </c>
      <c r="B26" s="29"/>
      <c r="C26" s="25"/>
      <c r="D26" s="26"/>
      <c r="E26" s="27"/>
      <c r="F26" s="37" t="str">
        <f t="shared" si="1"/>
        <v/>
      </c>
      <c r="G26" s="38" t="str">
        <f t="shared" si="2"/>
        <v/>
      </c>
      <c r="H26" s="28"/>
    </row>
    <row r="27" spans="1:8" x14ac:dyDescent="0.45">
      <c r="A27" s="47" t="str">
        <f t="shared" si="0"/>
        <v/>
      </c>
      <c r="B27" s="48"/>
      <c r="C27" s="49"/>
      <c r="D27" s="50"/>
      <c r="E27" s="51"/>
      <c r="F27" s="52" t="str">
        <f t="shared" si="1"/>
        <v/>
      </c>
      <c r="G27" s="53" t="str">
        <f t="shared" si="2"/>
        <v/>
      </c>
      <c r="H27" s="54"/>
    </row>
    <row r="28" spans="1:8" x14ac:dyDescent="0.45">
      <c r="A28" s="24" t="str">
        <f t="shared" si="0"/>
        <v/>
      </c>
      <c r="B28" s="29"/>
      <c r="C28" s="25"/>
      <c r="D28" s="26"/>
      <c r="E28" s="27"/>
      <c r="F28" s="37" t="str">
        <f t="shared" si="1"/>
        <v/>
      </c>
      <c r="G28" s="38" t="str">
        <f t="shared" si="2"/>
        <v/>
      </c>
      <c r="H28" s="28"/>
    </row>
    <row r="29" spans="1:8" x14ac:dyDescent="0.45">
      <c r="A29" s="47" t="str">
        <f t="shared" si="0"/>
        <v/>
      </c>
      <c r="B29" s="48"/>
      <c r="C29" s="49"/>
      <c r="D29" s="50"/>
      <c r="E29" s="51"/>
      <c r="F29" s="52" t="str">
        <f t="shared" si="1"/>
        <v/>
      </c>
      <c r="G29" s="53" t="str">
        <f t="shared" si="2"/>
        <v/>
      </c>
      <c r="H29" s="54"/>
    </row>
    <row r="30" spans="1:8" x14ac:dyDescent="0.45">
      <c r="A30" s="24" t="str">
        <f t="shared" si="0"/>
        <v/>
      </c>
      <c r="B30" s="29"/>
      <c r="C30" s="25"/>
      <c r="D30" s="26"/>
      <c r="E30" s="27"/>
      <c r="F30" s="37" t="str">
        <f t="shared" si="1"/>
        <v/>
      </c>
      <c r="G30" s="38" t="str">
        <f t="shared" si="2"/>
        <v/>
      </c>
      <c r="H30" s="28"/>
    </row>
    <row r="31" spans="1:8" x14ac:dyDescent="0.45">
      <c r="A31" s="47" t="str">
        <f t="shared" si="0"/>
        <v/>
      </c>
      <c r="B31" s="48"/>
      <c r="C31" s="49"/>
      <c r="D31" s="50"/>
      <c r="E31" s="51"/>
      <c r="F31" s="52" t="str">
        <f t="shared" si="1"/>
        <v/>
      </c>
      <c r="G31" s="53" t="str">
        <f t="shared" si="2"/>
        <v/>
      </c>
      <c r="H31" s="54"/>
    </row>
    <row r="32" spans="1:8" x14ac:dyDescent="0.45">
      <c r="A32" s="24" t="str">
        <f t="shared" si="0"/>
        <v/>
      </c>
      <c r="B32" s="29"/>
      <c r="C32" s="25"/>
      <c r="D32" s="26"/>
      <c r="E32" s="27"/>
      <c r="F32" s="37" t="str">
        <f t="shared" si="1"/>
        <v/>
      </c>
      <c r="G32" s="38" t="str">
        <f t="shared" si="2"/>
        <v/>
      </c>
      <c r="H32" s="28"/>
    </row>
    <row r="33" spans="1:8" x14ac:dyDescent="0.45">
      <c r="A33" s="47" t="str">
        <f t="shared" si="0"/>
        <v/>
      </c>
      <c r="B33" s="48"/>
      <c r="C33" s="49"/>
      <c r="D33" s="50"/>
      <c r="E33" s="51"/>
      <c r="F33" s="52" t="str">
        <f t="shared" si="1"/>
        <v/>
      </c>
      <c r="G33" s="53" t="str">
        <f t="shared" si="2"/>
        <v/>
      </c>
      <c r="H33" s="54"/>
    </row>
    <row r="34" spans="1:8" x14ac:dyDescent="0.45">
      <c r="A34" s="24" t="str">
        <f t="shared" si="0"/>
        <v/>
      </c>
      <c r="B34" s="29"/>
      <c r="C34" s="25"/>
      <c r="D34" s="26"/>
      <c r="E34" s="27"/>
      <c r="F34" s="37" t="str">
        <f t="shared" si="1"/>
        <v/>
      </c>
      <c r="G34" s="38" t="str">
        <f t="shared" si="2"/>
        <v/>
      </c>
      <c r="H34" s="28"/>
    </row>
    <row r="35" spans="1:8" x14ac:dyDescent="0.45">
      <c r="A35" s="47" t="str">
        <f t="shared" si="0"/>
        <v/>
      </c>
      <c r="B35" s="48"/>
      <c r="C35" s="49"/>
      <c r="D35" s="50"/>
      <c r="E35" s="51"/>
      <c r="F35" s="52" t="str">
        <f t="shared" si="1"/>
        <v/>
      </c>
      <c r="G35" s="53" t="str">
        <f t="shared" si="2"/>
        <v/>
      </c>
      <c r="H35" s="54"/>
    </row>
    <row r="36" spans="1:8" x14ac:dyDescent="0.45">
      <c r="A36" s="24" t="str">
        <f t="shared" si="0"/>
        <v/>
      </c>
      <c r="B36" s="29"/>
      <c r="C36" s="25"/>
      <c r="D36" s="26"/>
      <c r="E36" s="27"/>
      <c r="F36" s="37" t="str">
        <f t="shared" si="1"/>
        <v/>
      </c>
      <c r="G36" s="38" t="str">
        <f t="shared" si="2"/>
        <v/>
      </c>
      <c r="H36" s="28"/>
    </row>
    <row r="37" spans="1:8" x14ac:dyDescent="0.45">
      <c r="A37" s="47" t="str">
        <f t="shared" si="0"/>
        <v/>
      </c>
      <c r="B37" s="48"/>
      <c r="C37" s="49"/>
      <c r="D37" s="50"/>
      <c r="E37" s="51"/>
      <c r="F37" s="52" t="str">
        <f t="shared" si="1"/>
        <v/>
      </c>
      <c r="G37" s="53" t="str">
        <f t="shared" si="2"/>
        <v/>
      </c>
      <c r="H37" s="54"/>
    </row>
    <row r="38" spans="1:8" x14ac:dyDescent="0.45">
      <c r="A38" s="24" t="str">
        <f t="shared" si="0"/>
        <v/>
      </c>
      <c r="B38" s="29"/>
      <c r="C38" s="25"/>
      <c r="D38" s="26"/>
      <c r="E38" s="27"/>
      <c r="F38" s="37" t="str">
        <f t="shared" si="1"/>
        <v/>
      </c>
      <c r="G38" s="38" t="str">
        <f t="shared" si="2"/>
        <v/>
      </c>
      <c r="H38" s="28"/>
    </row>
    <row r="39" spans="1:8" x14ac:dyDescent="0.45">
      <c r="A39" s="47" t="str">
        <f t="shared" si="0"/>
        <v/>
      </c>
      <c r="B39" s="48"/>
      <c r="C39" s="49"/>
      <c r="D39" s="50"/>
      <c r="E39" s="51"/>
      <c r="F39" s="52" t="str">
        <f t="shared" si="1"/>
        <v/>
      </c>
      <c r="G39" s="53" t="str">
        <f t="shared" si="2"/>
        <v/>
      </c>
      <c r="H39" s="54"/>
    </row>
    <row r="40" spans="1:8" x14ac:dyDescent="0.45">
      <c r="A40" s="24" t="str">
        <f t="shared" si="0"/>
        <v/>
      </c>
      <c r="B40" s="29"/>
      <c r="C40" s="25"/>
      <c r="D40" s="26"/>
      <c r="E40" s="27"/>
      <c r="F40" s="37" t="str">
        <f t="shared" si="1"/>
        <v/>
      </c>
      <c r="G40" s="38" t="str">
        <f t="shared" si="2"/>
        <v/>
      </c>
      <c r="H40" s="28"/>
    </row>
    <row r="41" spans="1:8" x14ac:dyDescent="0.45">
      <c r="A41" s="47" t="str">
        <f t="shared" si="0"/>
        <v/>
      </c>
      <c r="B41" s="48"/>
      <c r="C41" s="49"/>
      <c r="D41" s="50"/>
      <c r="E41" s="51"/>
      <c r="F41" s="52" t="str">
        <f t="shared" si="1"/>
        <v/>
      </c>
      <c r="G41" s="53" t="str">
        <f t="shared" si="2"/>
        <v/>
      </c>
      <c r="H41" s="54"/>
    </row>
    <row r="42" spans="1:8" x14ac:dyDescent="0.45">
      <c r="A42" s="24" t="str">
        <f t="shared" si="0"/>
        <v/>
      </c>
      <c r="B42" s="29"/>
      <c r="C42" s="25"/>
      <c r="D42" s="26"/>
      <c r="E42" s="27"/>
      <c r="F42" s="37" t="str">
        <f t="shared" si="1"/>
        <v/>
      </c>
      <c r="G42" s="38" t="str">
        <f t="shared" si="2"/>
        <v/>
      </c>
      <c r="H42" s="28"/>
    </row>
    <row r="43" spans="1:8" x14ac:dyDescent="0.45">
      <c r="A43" s="47" t="str">
        <f t="shared" si="0"/>
        <v/>
      </c>
      <c r="B43" s="48"/>
      <c r="C43" s="49"/>
      <c r="D43" s="50"/>
      <c r="E43" s="51"/>
      <c r="F43" s="52" t="str">
        <f t="shared" si="1"/>
        <v/>
      </c>
      <c r="G43" s="53" t="str">
        <f t="shared" si="2"/>
        <v/>
      </c>
      <c r="H43" s="54"/>
    </row>
    <row r="44" spans="1:8" x14ac:dyDescent="0.45">
      <c r="A44" s="24" t="str">
        <f t="shared" si="0"/>
        <v/>
      </c>
      <c r="B44" s="29"/>
      <c r="C44" s="25"/>
      <c r="D44" s="26"/>
      <c r="E44" s="27"/>
      <c r="F44" s="37" t="str">
        <f t="shared" si="1"/>
        <v/>
      </c>
      <c r="G44" s="38" t="str">
        <f t="shared" si="2"/>
        <v/>
      </c>
      <c r="H44" s="28"/>
    </row>
    <row r="45" spans="1:8" x14ac:dyDescent="0.45">
      <c r="A45" s="47" t="str">
        <f t="shared" si="0"/>
        <v/>
      </c>
      <c r="B45" s="48"/>
      <c r="C45" s="49"/>
      <c r="D45" s="50"/>
      <c r="E45" s="51"/>
      <c r="F45" s="52" t="str">
        <f t="shared" si="1"/>
        <v/>
      </c>
      <c r="G45" s="53" t="str">
        <f t="shared" si="2"/>
        <v/>
      </c>
      <c r="H45" s="54"/>
    </row>
    <row r="46" spans="1:8" x14ac:dyDescent="0.45">
      <c r="A46" s="24" t="str">
        <f t="shared" si="0"/>
        <v/>
      </c>
      <c r="B46" s="29"/>
      <c r="C46" s="25"/>
      <c r="D46" s="26"/>
      <c r="E46" s="27"/>
      <c r="F46" s="37" t="str">
        <f t="shared" si="1"/>
        <v/>
      </c>
      <c r="G46" s="38" t="str">
        <f t="shared" si="2"/>
        <v/>
      </c>
      <c r="H46" s="28"/>
    </row>
    <row r="47" spans="1:8" x14ac:dyDescent="0.45">
      <c r="A47" s="47" t="str">
        <f t="shared" si="0"/>
        <v/>
      </c>
      <c r="B47" s="48"/>
      <c r="C47" s="49"/>
      <c r="D47" s="50"/>
      <c r="E47" s="51"/>
      <c r="F47" s="52" t="str">
        <f t="shared" si="1"/>
        <v/>
      </c>
      <c r="G47" s="53" t="str">
        <f t="shared" si="2"/>
        <v/>
      </c>
      <c r="H47" s="54"/>
    </row>
    <row r="48" spans="1:8" x14ac:dyDescent="0.45">
      <c r="A48" s="24" t="str">
        <f t="shared" si="0"/>
        <v/>
      </c>
      <c r="B48" s="29"/>
      <c r="C48" s="25"/>
      <c r="D48" s="26"/>
      <c r="E48" s="27"/>
      <c r="F48" s="37" t="str">
        <f t="shared" si="1"/>
        <v/>
      </c>
      <c r="G48" s="38" t="str">
        <f t="shared" si="2"/>
        <v/>
      </c>
      <c r="H48" s="28"/>
    </row>
    <row r="49" spans="1:8" x14ac:dyDescent="0.45">
      <c r="A49" s="47" t="str">
        <f t="shared" si="0"/>
        <v/>
      </c>
      <c r="B49" s="48"/>
      <c r="C49" s="49"/>
      <c r="D49" s="50"/>
      <c r="E49" s="51"/>
      <c r="F49" s="52" t="str">
        <f t="shared" si="1"/>
        <v/>
      </c>
      <c r="G49" s="53" t="str">
        <f t="shared" si="2"/>
        <v/>
      </c>
      <c r="H49" s="54"/>
    </row>
    <row r="50" spans="1:8" x14ac:dyDescent="0.45">
      <c r="A50" s="24" t="str">
        <f t="shared" si="0"/>
        <v/>
      </c>
      <c r="B50" s="29"/>
      <c r="C50" s="25"/>
      <c r="D50" s="26"/>
      <c r="E50" s="27"/>
      <c r="F50" s="37" t="str">
        <f t="shared" si="1"/>
        <v/>
      </c>
      <c r="G50" s="38" t="str">
        <f t="shared" si="2"/>
        <v/>
      </c>
      <c r="H50" s="28"/>
    </row>
    <row r="51" spans="1:8" x14ac:dyDescent="0.45">
      <c r="A51" s="47" t="str">
        <f t="shared" si="0"/>
        <v/>
      </c>
      <c r="B51" s="48"/>
      <c r="C51" s="49"/>
      <c r="D51" s="50"/>
      <c r="E51" s="51"/>
      <c r="F51" s="52" t="str">
        <f t="shared" si="1"/>
        <v/>
      </c>
      <c r="G51" s="53" t="str">
        <f t="shared" si="2"/>
        <v/>
      </c>
      <c r="H51" s="54"/>
    </row>
    <row r="52" spans="1:8" x14ac:dyDescent="0.45">
      <c r="A52" s="24" t="str">
        <f t="shared" si="0"/>
        <v/>
      </c>
      <c r="B52" s="29"/>
      <c r="C52" s="25"/>
      <c r="D52" s="26"/>
      <c r="E52" s="27"/>
      <c r="F52" s="37" t="str">
        <f t="shared" si="1"/>
        <v/>
      </c>
      <c r="G52" s="38" t="str">
        <f t="shared" si="2"/>
        <v/>
      </c>
      <c r="H52" s="28"/>
    </row>
    <row r="53" spans="1:8" x14ac:dyDescent="0.45">
      <c r="A53" s="47" t="str">
        <f t="shared" si="0"/>
        <v/>
      </c>
      <c r="B53" s="48"/>
      <c r="C53" s="49"/>
      <c r="D53" s="50"/>
      <c r="E53" s="51"/>
      <c r="F53" s="52" t="str">
        <f t="shared" si="1"/>
        <v/>
      </c>
      <c r="G53" s="53" t="str">
        <f t="shared" si="2"/>
        <v/>
      </c>
      <c r="H53" s="54"/>
    </row>
    <row r="54" spans="1:8" x14ac:dyDescent="0.45">
      <c r="A54" s="24" t="str">
        <f t="shared" si="0"/>
        <v/>
      </c>
      <c r="B54" s="29"/>
      <c r="C54" s="25"/>
      <c r="D54" s="26"/>
      <c r="E54" s="27"/>
      <c r="F54" s="37" t="str">
        <f t="shared" si="1"/>
        <v/>
      </c>
      <c r="G54" s="38" t="str">
        <f t="shared" si="2"/>
        <v/>
      </c>
      <c r="H54" s="28"/>
    </row>
    <row r="55" spans="1:8" x14ac:dyDescent="0.45">
      <c r="A55" s="47" t="str">
        <f t="shared" si="0"/>
        <v/>
      </c>
      <c r="B55" s="48"/>
      <c r="C55" s="49"/>
      <c r="D55" s="50"/>
      <c r="E55" s="51"/>
      <c r="F55" s="52" t="str">
        <f t="shared" si="1"/>
        <v/>
      </c>
      <c r="G55" s="53" t="str">
        <f t="shared" si="2"/>
        <v/>
      </c>
      <c r="H55" s="54"/>
    </row>
    <row r="56" spans="1:8" x14ac:dyDescent="0.45">
      <c r="A56" s="24" t="str">
        <f t="shared" si="0"/>
        <v/>
      </c>
      <c r="B56" s="29"/>
      <c r="C56" s="25"/>
      <c r="D56" s="26"/>
      <c r="E56" s="27"/>
      <c r="F56" s="37" t="str">
        <f t="shared" si="1"/>
        <v/>
      </c>
      <c r="G56" s="38" t="str">
        <f t="shared" si="2"/>
        <v/>
      </c>
      <c r="H56" s="28"/>
    </row>
    <row r="57" spans="1:8" x14ac:dyDescent="0.45">
      <c r="A57" s="47" t="str">
        <f t="shared" si="0"/>
        <v/>
      </c>
      <c r="B57" s="48"/>
      <c r="C57" s="49"/>
      <c r="D57" s="50"/>
      <c r="E57" s="51"/>
      <c r="F57" s="52" t="str">
        <f t="shared" si="1"/>
        <v/>
      </c>
      <c r="G57" s="53" t="str">
        <f t="shared" si="2"/>
        <v/>
      </c>
      <c r="H57" s="54"/>
    </row>
    <row r="58" spans="1:8" x14ac:dyDescent="0.45">
      <c r="A58" s="24" t="str">
        <f t="shared" si="0"/>
        <v/>
      </c>
      <c r="B58" s="29"/>
      <c r="C58" s="25"/>
      <c r="D58" s="26"/>
      <c r="E58" s="27"/>
      <c r="F58" s="37" t="str">
        <f t="shared" si="1"/>
        <v/>
      </c>
      <c r="G58" s="38" t="str">
        <f t="shared" si="2"/>
        <v/>
      </c>
      <c r="H58" s="28"/>
    </row>
    <row r="59" spans="1:8" x14ac:dyDescent="0.45">
      <c r="A59" s="47" t="str">
        <f t="shared" si="0"/>
        <v/>
      </c>
      <c r="B59" s="48"/>
      <c r="C59" s="49"/>
      <c r="D59" s="50"/>
      <c r="E59" s="51"/>
      <c r="F59" s="52" t="str">
        <f t="shared" si="1"/>
        <v/>
      </c>
      <c r="G59" s="53" t="str">
        <f t="shared" si="2"/>
        <v/>
      </c>
      <c r="H59" s="54"/>
    </row>
    <row r="60" spans="1:8" x14ac:dyDescent="0.45">
      <c r="A60" s="24" t="str">
        <f t="shared" si="0"/>
        <v/>
      </c>
      <c r="B60" s="29"/>
      <c r="C60" s="25"/>
      <c r="D60" s="26"/>
      <c r="E60" s="27"/>
      <c r="F60" s="37" t="str">
        <f t="shared" si="1"/>
        <v/>
      </c>
      <c r="G60" s="38" t="str">
        <f t="shared" si="2"/>
        <v/>
      </c>
      <c r="H60" s="28"/>
    </row>
    <row r="61" spans="1:8" x14ac:dyDescent="0.45">
      <c r="A61" s="47" t="str">
        <f t="shared" si="0"/>
        <v/>
      </c>
      <c r="B61" s="48"/>
      <c r="C61" s="49"/>
      <c r="D61" s="50"/>
      <c r="E61" s="51"/>
      <c r="F61" s="52" t="str">
        <f t="shared" si="1"/>
        <v/>
      </c>
      <c r="G61" s="53" t="str">
        <f t="shared" si="2"/>
        <v/>
      </c>
      <c r="H61" s="54"/>
    </row>
    <row r="62" spans="1:8" x14ac:dyDescent="0.45">
      <c r="A62" s="24" t="str">
        <f t="shared" si="0"/>
        <v/>
      </c>
      <c r="B62" s="29"/>
      <c r="C62" s="25"/>
      <c r="D62" s="26"/>
      <c r="E62" s="27"/>
      <c r="F62" s="37" t="str">
        <f t="shared" si="1"/>
        <v/>
      </c>
      <c r="G62" s="38" t="str">
        <f t="shared" si="2"/>
        <v/>
      </c>
      <c r="H62" s="28"/>
    </row>
    <row r="63" spans="1:8" x14ac:dyDescent="0.45">
      <c r="A63" s="47" t="str">
        <f t="shared" si="0"/>
        <v/>
      </c>
      <c r="B63" s="48"/>
      <c r="C63" s="49"/>
      <c r="D63" s="50"/>
      <c r="E63" s="51"/>
      <c r="F63" s="52" t="str">
        <f t="shared" si="1"/>
        <v/>
      </c>
      <c r="G63" s="53" t="str">
        <f t="shared" si="2"/>
        <v/>
      </c>
      <c r="H63" s="54"/>
    </row>
    <row r="64" spans="1:8" x14ac:dyDescent="0.45">
      <c r="A64" s="24" t="str">
        <f t="shared" si="0"/>
        <v/>
      </c>
      <c r="B64" s="29"/>
      <c r="C64" s="25"/>
      <c r="D64" s="26"/>
      <c r="E64" s="27"/>
      <c r="F64" s="37" t="str">
        <f t="shared" si="1"/>
        <v/>
      </c>
      <c r="G64" s="38" t="str">
        <f t="shared" si="2"/>
        <v/>
      </c>
      <c r="H64" s="28"/>
    </row>
    <row r="65" spans="1:8" x14ac:dyDescent="0.45">
      <c r="A65" s="47" t="str">
        <f t="shared" si="0"/>
        <v/>
      </c>
      <c r="B65" s="48"/>
      <c r="C65" s="49"/>
      <c r="D65" s="50"/>
      <c r="E65" s="51"/>
      <c r="F65" s="52" t="str">
        <f t="shared" si="1"/>
        <v/>
      </c>
      <c r="G65" s="53" t="str">
        <f t="shared" si="2"/>
        <v/>
      </c>
      <c r="H65" s="54"/>
    </row>
    <row r="66" spans="1:8" x14ac:dyDescent="0.45">
      <c r="A66" s="24" t="str">
        <f t="shared" si="0"/>
        <v/>
      </c>
      <c r="B66" s="29"/>
      <c r="C66" s="25"/>
      <c r="D66" s="26"/>
      <c r="E66" s="27"/>
      <c r="F66" s="37" t="str">
        <f t="shared" si="1"/>
        <v/>
      </c>
      <c r="G66" s="38" t="str">
        <f t="shared" si="2"/>
        <v/>
      </c>
      <c r="H66" s="28"/>
    </row>
    <row r="67" spans="1:8" x14ac:dyDescent="0.45">
      <c r="A67" s="47" t="str">
        <f t="shared" si="0"/>
        <v/>
      </c>
      <c r="B67" s="48"/>
      <c r="C67" s="49"/>
      <c r="D67" s="50"/>
      <c r="E67" s="51"/>
      <c r="F67" s="52" t="str">
        <f t="shared" si="1"/>
        <v/>
      </c>
      <c r="G67" s="53" t="str">
        <f t="shared" si="2"/>
        <v/>
      </c>
      <c r="H67" s="54"/>
    </row>
    <row r="68" spans="1:8" x14ac:dyDescent="0.45">
      <c r="A68" s="24" t="str">
        <f t="shared" si="0"/>
        <v/>
      </c>
      <c r="B68" s="29"/>
      <c r="C68" s="25"/>
      <c r="D68" s="26"/>
      <c r="E68" s="27"/>
      <c r="F68" s="37" t="str">
        <f t="shared" si="1"/>
        <v/>
      </c>
      <c r="G68" s="38" t="str">
        <f t="shared" si="2"/>
        <v/>
      </c>
      <c r="H68" s="28"/>
    </row>
    <row r="69" spans="1:8" x14ac:dyDescent="0.45">
      <c r="A69" s="47" t="str">
        <f t="shared" si="0"/>
        <v/>
      </c>
      <c r="B69" s="48"/>
      <c r="C69" s="49"/>
      <c r="D69" s="50"/>
      <c r="E69" s="51"/>
      <c r="F69" s="52" t="str">
        <f t="shared" si="1"/>
        <v/>
      </c>
      <c r="G69" s="53" t="str">
        <f t="shared" si="2"/>
        <v/>
      </c>
      <c r="H69" s="54"/>
    </row>
    <row r="70" spans="1:8" x14ac:dyDescent="0.45">
      <c r="A70" s="24" t="str">
        <f t="shared" si="0"/>
        <v/>
      </c>
      <c r="B70" s="29"/>
      <c r="C70" s="25"/>
      <c r="D70" s="26"/>
      <c r="E70" s="27"/>
      <c r="F70" s="37" t="str">
        <f t="shared" si="1"/>
        <v/>
      </c>
      <c r="G70" s="38" t="str">
        <f t="shared" si="2"/>
        <v/>
      </c>
      <c r="H70" s="28"/>
    </row>
    <row r="71" spans="1:8" x14ac:dyDescent="0.45">
      <c r="A71" s="47" t="str">
        <f t="shared" si="0"/>
        <v/>
      </c>
      <c r="B71" s="48"/>
      <c r="C71" s="49"/>
      <c r="D71" s="50"/>
      <c r="E71" s="51"/>
      <c r="F71" s="52" t="str">
        <f t="shared" si="1"/>
        <v/>
      </c>
      <c r="G71" s="53" t="str">
        <f t="shared" si="2"/>
        <v/>
      </c>
      <c r="H71" s="54"/>
    </row>
    <row r="72" spans="1:8" x14ac:dyDescent="0.45">
      <c r="A72" s="24" t="str">
        <f t="shared" si="0"/>
        <v/>
      </c>
      <c r="B72" s="29"/>
      <c r="C72" s="25"/>
      <c r="D72" s="26"/>
      <c r="E72" s="27"/>
      <c r="F72" s="37" t="str">
        <f t="shared" si="1"/>
        <v/>
      </c>
      <c r="G72" s="38" t="str">
        <f t="shared" si="2"/>
        <v/>
      </c>
      <c r="H72" s="28"/>
    </row>
    <row r="73" spans="1:8" x14ac:dyDescent="0.45">
      <c r="A73" s="47" t="str">
        <f t="shared" si="0"/>
        <v/>
      </c>
      <c r="B73" s="48"/>
      <c r="C73" s="49"/>
      <c r="D73" s="50"/>
      <c r="E73" s="51"/>
      <c r="F73" s="52" t="str">
        <f t="shared" si="1"/>
        <v/>
      </c>
      <c r="G73" s="53" t="str">
        <f t="shared" si="2"/>
        <v/>
      </c>
      <c r="H73" s="54"/>
    </row>
    <row r="74" spans="1:8" x14ac:dyDescent="0.45">
      <c r="A74" s="24" t="str">
        <f t="shared" si="0"/>
        <v/>
      </c>
      <c r="B74" s="29"/>
      <c r="C74" s="25"/>
      <c r="D74" s="26"/>
      <c r="E74" s="27"/>
      <c r="F74" s="37" t="str">
        <f t="shared" si="1"/>
        <v/>
      </c>
      <c r="G74" s="38" t="str">
        <f t="shared" si="2"/>
        <v/>
      </c>
      <c r="H74" s="28"/>
    </row>
    <row r="75" spans="1:8" x14ac:dyDescent="0.45">
      <c r="A75" s="47" t="str">
        <f t="shared" ref="A75:A138" si="3">IF(B75="","",ROW()-9)</f>
        <v/>
      </c>
      <c r="B75" s="48"/>
      <c r="C75" s="49"/>
      <c r="D75" s="50"/>
      <c r="E75" s="51"/>
      <c r="F75" s="52" t="str">
        <f t="shared" ref="F75:F138" si="4">IF(B75="","",D75*65000)</f>
        <v/>
      </c>
      <c r="G75" s="53" t="str">
        <f t="shared" ref="G75:G138" si="5">IF(B75="","",E75-F75)</f>
        <v/>
      </c>
      <c r="H75" s="54"/>
    </row>
    <row r="76" spans="1:8" x14ac:dyDescent="0.45">
      <c r="A76" s="24" t="str">
        <f t="shared" si="3"/>
        <v/>
      </c>
      <c r="B76" s="29"/>
      <c r="C76" s="25"/>
      <c r="D76" s="26"/>
      <c r="E76" s="27"/>
      <c r="F76" s="37" t="str">
        <f t="shared" si="4"/>
        <v/>
      </c>
      <c r="G76" s="38" t="str">
        <f t="shared" si="5"/>
        <v/>
      </c>
      <c r="H76" s="28"/>
    </row>
    <row r="77" spans="1:8" x14ac:dyDescent="0.45">
      <c r="A77" s="47" t="str">
        <f t="shared" si="3"/>
        <v/>
      </c>
      <c r="B77" s="48"/>
      <c r="C77" s="49"/>
      <c r="D77" s="50"/>
      <c r="E77" s="51"/>
      <c r="F77" s="52" t="str">
        <f t="shared" si="4"/>
        <v/>
      </c>
      <c r="G77" s="53" t="str">
        <f t="shared" si="5"/>
        <v/>
      </c>
      <c r="H77" s="54"/>
    </row>
    <row r="78" spans="1:8" x14ac:dyDescent="0.45">
      <c r="A78" s="24" t="str">
        <f t="shared" si="3"/>
        <v/>
      </c>
      <c r="B78" s="29"/>
      <c r="C78" s="25"/>
      <c r="D78" s="26"/>
      <c r="E78" s="27"/>
      <c r="F78" s="37" t="str">
        <f t="shared" si="4"/>
        <v/>
      </c>
      <c r="G78" s="38" t="str">
        <f t="shared" si="5"/>
        <v/>
      </c>
      <c r="H78" s="28"/>
    </row>
    <row r="79" spans="1:8" x14ac:dyDescent="0.45">
      <c r="A79" s="47" t="str">
        <f t="shared" si="3"/>
        <v/>
      </c>
      <c r="B79" s="48"/>
      <c r="C79" s="49"/>
      <c r="D79" s="50"/>
      <c r="E79" s="51"/>
      <c r="F79" s="52" t="str">
        <f t="shared" si="4"/>
        <v/>
      </c>
      <c r="G79" s="53" t="str">
        <f t="shared" si="5"/>
        <v/>
      </c>
      <c r="H79" s="54"/>
    </row>
    <row r="80" spans="1:8" x14ac:dyDescent="0.45">
      <c r="A80" s="24" t="str">
        <f t="shared" si="3"/>
        <v/>
      </c>
      <c r="B80" s="29"/>
      <c r="C80" s="25"/>
      <c r="D80" s="26"/>
      <c r="E80" s="27"/>
      <c r="F80" s="37" t="str">
        <f t="shared" si="4"/>
        <v/>
      </c>
      <c r="G80" s="38" t="str">
        <f t="shared" si="5"/>
        <v/>
      </c>
      <c r="H80" s="28"/>
    </row>
    <row r="81" spans="1:8" x14ac:dyDescent="0.45">
      <c r="A81" s="47" t="str">
        <f t="shared" si="3"/>
        <v/>
      </c>
      <c r="B81" s="48"/>
      <c r="C81" s="49"/>
      <c r="D81" s="50"/>
      <c r="E81" s="51"/>
      <c r="F81" s="52" t="str">
        <f t="shared" si="4"/>
        <v/>
      </c>
      <c r="G81" s="53" t="str">
        <f t="shared" si="5"/>
        <v/>
      </c>
      <c r="H81" s="54"/>
    </row>
    <row r="82" spans="1:8" x14ac:dyDescent="0.45">
      <c r="A82" s="24" t="str">
        <f t="shared" si="3"/>
        <v/>
      </c>
      <c r="B82" s="29"/>
      <c r="C82" s="25"/>
      <c r="D82" s="26"/>
      <c r="E82" s="27"/>
      <c r="F82" s="37" t="str">
        <f t="shared" si="4"/>
        <v/>
      </c>
      <c r="G82" s="38" t="str">
        <f t="shared" si="5"/>
        <v/>
      </c>
      <c r="H82" s="28"/>
    </row>
    <row r="83" spans="1:8" x14ac:dyDescent="0.45">
      <c r="A83" s="47" t="str">
        <f t="shared" si="3"/>
        <v/>
      </c>
      <c r="B83" s="48"/>
      <c r="C83" s="49"/>
      <c r="D83" s="50"/>
      <c r="E83" s="51"/>
      <c r="F83" s="52" t="str">
        <f t="shared" si="4"/>
        <v/>
      </c>
      <c r="G83" s="53" t="str">
        <f t="shared" si="5"/>
        <v/>
      </c>
      <c r="H83" s="54"/>
    </row>
    <row r="84" spans="1:8" x14ac:dyDescent="0.45">
      <c r="A84" s="24" t="str">
        <f t="shared" si="3"/>
        <v/>
      </c>
      <c r="B84" s="29"/>
      <c r="C84" s="25"/>
      <c r="D84" s="26"/>
      <c r="E84" s="27"/>
      <c r="F84" s="37" t="str">
        <f t="shared" si="4"/>
        <v/>
      </c>
      <c r="G84" s="38" t="str">
        <f t="shared" si="5"/>
        <v/>
      </c>
      <c r="H84" s="28"/>
    </row>
    <row r="85" spans="1:8" x14ac:dyDescent="0.45">
      <c r="A85" s="47" t="str">
        <f t="shared" si="3"/>
        <v/>
      </c>
      <c r="B85" s="48"/>
      <c r="C85" s="49"/>
      <c r="D85" s="50"/>
      <c r="E85" s="51"/>
      <c r="F85" s="52" t="str">
        <f t="shared" si="4"/>
        <v/>
      </c>
      <c r="G85" s="53" t="str">
        <f t="shared" si="5"/>
        <v/>
      </c>
      <c r="H85" s="54"/>
    </row>
    <row r="86" spans="1:8" x14ac:dyDescent="0.45">
      <c r="A86" s="24" t="str">
        <f t="shared" si="3"/>
        <v/>
      </c>
      <c r="B86" s="29"/>
      <c r="C86" s="25"/>
      <c r="D86" s="26"/>
      <c r="E86" s="27"/>
      <c r="F86" s="37" t="str">
        <f t="shared" si="4"/>
        <v/>
      </c>
      <c r="G86" s="38" t="str">
        <f t="shared" si="5"/>
        <v/>
      </c>
      <c r="H86" s="28"/>
    </row>
    <row r="87" spans="1:8" x14ac:dyDescent="0.45">
      <c r="A87" s="47" t="str">
        <f t="shared" si="3"/>
        <v/>
      </c>
      <c r="B87" s="48"/>
      <c r="C87" s="49"/>
      <c r="D87" s="50"/>
      <c r="E87" s="51"/>
      <c r="F87" s="52" t="str">
        <f t="shared" si="4"/>
        <v/>
      </c>
      <c r="G87" s="53" t="str">
        <f t="shared" si="5"/>
        <v/>
      </c>
      <c r="H87" s="54"/>
    </row>
    <row r="88" spans="1:8" x14ac:dyDescent="0.45">
      <c r="A88" s="24" t="str">
        <f t="shared" si="3"/>
        <v/>
      </c>
      <c r="B88" s="29"/>
      <c r="C88" s="25"/>
      <c r="D88" s="26"/>
      <c r="E88" s="27"/>
      <c r="F88" s="37" t="str">
        <f t="shared" si="4"/>
        <v/>
      </c>
      <c r="G88" s="38" t="str">
        <f t="shared" si="5"/>
        <v/>
      </c>
      <c r="H88" s="28"/>
    </row>
    <row r="89" spans="1:8" x14ac:dyDescent="0.45">
      <c r="A89" s="47" t="str">
        <f t="shared" si="3"/>
        <v/>
      </c>
      <c r="B89" s="48"/>
      <c r="C89" s="49"/>
      <c r="D89" s="50"/>
      <c r="E89" s="51"/>
      <c r="F89" s="52" t="str">
        <f t="shared" si="4"/>
        <v/>
      </c>
      <c r="G89" s="53" t="str">
        <f t="shared" si="5"/>
        <v/>
      </c>
      <c r="H89" s="54"/>
    </row>
    <row r="90" spans="1:8" x14ac:dyDescent="0.45">
      <c r="A90" s="24" t="str">
        <f t="shared" si="3"/>
        <v/>
      </c>
      <c r="B90" s="29"/>
      <c r="C90" s="25"/>
      <c r="D90" s="26"/>
      <c r="E90" s="27"/>
      <c r="F90" s="37" t="str">
        <f t="shared" si="4"/>
        <v/>
      </c>
      <c r="G90" s="38" t="str">
        <f t="shared" si="5"/>
        <v/>
      </c>
      <c r="H90" s="28"/>
    </row>
    <row r="91" spans="1:8" x14ac:dyDescent="0.45">
      <c r="A91" s="47" t="str">
        <f t="shared" si="3"/>
        <v/>
      </c>
      <c r="B91" s="48"/>
      <c r="C91" s="49"/>
      <c r="D91" s="50"/>
      <c r="E91" s="51"/>
      <c r="F91" s="52" t="str">
        <f t="shared" si="4"/>
        <v/>
      </c>
      <c r="G91" s="53" t="str">
        <f t="shared" si="5"/>
        <v/>
      </c>
      <c r="H91" s="54"/>
    </row>
    <row r="92" spans="1:8" x14ac:dyDescent="0.45">
      <c r="A92" s="24" t="str">
        <f t="shared" si="3"/>
        <v/>
      </c>
      <c r="B92" s="29"/>
      <c r="C92" s="25"/>
      <c r="D92" s="26"/>
      <c r="E92" s="27"/>
      <c r="F92" s="37" t="str">
        <f t="shared" si="4"/>
        <v/>
      </c>
      <c r="G92" s="38" t="str">
        <f t="shared" si="5"/>
        <v/>
      </c>
      <c r="H92" s="28"/>
    </row>
    <row r="93" spans="1:8" x14ac:dyDescent="0.45">
      <c r="A93" s="47" t="str">
        <f t="shared" si="3"/>
        <v/>
      </c>
      <c r="B93" s="48"/>
      <c r="C93" s="49"/>
      <c r="D93" s="50"/>
      <c r="E93" s="51"/>
      <c r="F93" s="52" t="str">
        <f t="shared" si="4"/>
        <v/>
      </c>
      <c r="G93" s="53" t="str">
        <f t="shared" si="5"/>
        <v/>
      </c>
      <c r="H93" s="54"/>
    </row>
    <row r="94" spans="1:8" x14ac:dyDescent="0.45">
      <c r="A94" s="24" t="str">
        <f t="shared" si="3"/>
        <v/>
      </c>
      <c r="B94" s="29"/>
      <c r="C94" s="25"/>
      <c r="D94" s="26"/>
      <c r="E94" s="27"/>
      <c r="F94" s="37" t="str">
        <f t="shared" si="4"/>
        <v/>
      </c>
      <c r="G94" s="38" t="str">
        <f t="shared" si="5"/>
        <v/>
      </c>
      <c r="H94" s="28"/>
    </row>
    <row r="95" spans="1:8" x14ac:dyDescent="0.45">
      <c r="A95" s="47" t="str">
        <f t="shared" si="3"/>
        <v/>
      </c>
      <c r="B95" s="48"/>
      <c r="C95" s="49"/>
      <c r="D95" s="50"/>
      <c r="E95" s="51"/>
      <c r="F95" s="52" t="str">
        <f t="shared" si="4"/>
        <v/>
      </c>
      <c r="G95" s="53" t="str">
        <f t="shared" si="5"/>
        <v/>
      </c>
      <c r="H95" s="54"/>
    </row>
    <row r="96" spans="1:8" x14ac:dyDescent="0.45">
      <c r="A96" s="24" t="str">
        <f t="shared" si="3"/>
        <v/>
      </c>
      <c r="B96" s="29"/>
      <c r="C96" s="25"/>
      <c r="D96" s="26"/>
      <c r="E96" s="27"/>
      <c r="F96" s="37" t="str">
        <f t="shared" si="4"/>
        <v/>
      </c>
      <c r="G96" s="38" t="str">
        <f t="shared" si="5"/>
        <v/>
      </c>
      <c r="H96" s="28"/>
    </row>
    <row r="97" spans="1:8" x14ac:dyDescent="0.45">
      <c r="A97" s="47" t="str">
        <f t="shared" si="3"/>
        <v/>
      </c>
      <c r="B97" s="48"/>
      <c r="C97" s="49"/>
      <c r="D97" s="50"/>
      <c r="E97" s="51"/>
      <c r="F97" s="52" t="str">
        <f t="shared" si="4"/>
        <v/>
      </c>
      <c r="G97" s="53" t="str">
        <f t="shared" si="5"/>
        <v/>
      </c>
      <c r="H97" s="54"/>
    </row>
    <row r="98" spans="1:8" x14ac:dyDescent="0.45">
      <c r="A98" s="24" t="str">
        <f t="shared" si="3"/>
        <v/>
      </c>
      <c r="B98" s="29"/>
      <c r="C98" s="25"/>
      <c r="D98" s="26"/>
      <c r="E98" s="27"/>
      <c r="F98" s="37" t="str">
        <f t="shared" si="4"/>
        <v/>
      </c>
      <c r="G98" s="38" t="str">
        <f t="shared" si="5"/>
        <v/>
      </c>
      <c r="H98" s="28"/>
    </row>
    <row r="99" spans="1:8" x14ac:dyDescent="0.45">
      <c r="A99" s="47" t="str">
        <f t="shared" si="3"/>
        <v/>
      </c>
      <c r="B99" s="48"/>
      <c r="C99" s="49"/>
      <c r="D99" s="50"/>
      <c r="E99" s="51"/>
      <c r="F99" s="52" t="str">
        <f t="shared" si="4"/>
        <v/>
      </c>
      <c r="G99" s="53" t="str">
        <f t="shared" si="5"/>
        <v/>
      </c>
      <c r="H99" s="54"/>
    </row>
    <row r="100" spans="1:8" x14ac:dyDescent="0.45">
      <c r="A100" s="24" t="str">
        <f t="shared" si="3"/>
        <v/>
      </c>
      <c r="B100" s="29"/>
      <c r="C100" s="25"/>
      <c r="D100" s="26"/>
      <c r="E100" s="27"/>
      <c r="F100" s="37" t="str">
        <f t="shared" si="4"/>
        <v/>
      </c>
      <c r="G100" s="38" t="str">
        <f t="shared" si="5"/>
        <v/>
      </c>
      <c r="H100" s="28"/>
    </row>
    <row r="101" spans="1:8" x14ac:dyDescent="0.45">
      <c r="A101" s="47" t="str">
        <f t="shared" si="3"/>
        <v/>
      </c>
      <c r="B101" s="48"/>
      <c r="C101" s="49"/>
      <c r="D101" s="50"/>
      <c r="E101" s="51"/>
      <c r="F101" s="52" t="str">
        <f t="shared" si="4"/>
        <v/>
      </c>
      <c r="G101" s="53" t="str">
        <f t="shared" si="5"/>
        <v/>
      </c>
      <c r="H101" s="54"/>
    </row>
    <row r="102" spans="1:8" x14ac:dyDescent="0.45">
      <c r="A102" s="24" t="str">
        <f t="shared" si="3"/>
        <v/>
      </c>
      <c r="B102" s="29"/>
      <c r="C102" s="25"/>
      <c r="D102" s="26"/>
      <c r="E102" s="27"/>
      <c r="F102" s="37" t="str">
        <f t="shared" si="4"/>
        <v/>
      </c>
      <c r="G102" s="38" t="str">
        <f t="shared" si="5"/>
        <v/>
      </c>
      <c r="H102" s="28"/>
    </row>
    <row r="103" spans="1:8" x14ac:dyDescent="0.45">
      <c r="A103" s="47" t="str">
        <f t="shared" si="3"/>
        <v/>
      </c>
      <c r="B103" s="48"/>
      <c r="C103" s="49"/>
      <c r="D103" s="50"/>
      <c r="E103" s="51"/>
      <c r="F103" s="52" t="str">
        <f t="shared" si="4"/>
        <v/>
      </c>
      <c r="G103" s="53" t="str">
        <f t="shared" si="5"/>
        <v/>
      </c>
      <c r="H103" s="54"/>
    </row>
    <row r="104" spans="1:8" x14ac:dyDescent="0.45">
      <c r="A104" s="24" t="str">
        <f t="shared" si="3"/>
        <v/>
      </c>
      <c r="B104" s="29"/>
      <c r="C104" s="25"/>
      <c r="D104" s="26"/>
      <c r="E104" s="27"/>
      <c r="F104" s="37" t="str">
        <f t="shared" si="4"/>
        <v/>
      </c>
      <c r="G104" s="38" t="str">
        <f t="shared" si="5"/>
        <v/>
      </c>
      <c r="H104" s="28"/>
    </row>
    <row r="105" spans="1:8" x14ac:dyDescent="0.45">
      <c r="A105" s="47" t="str">
        <f t="shared" si="3"/>
        <v/>
      </c>
      <c r="B105" s="48"/>
      <c r="C105" s="49"/>
      <c r="D105" s="50"/>
      <c r="E105" s="51"/>
      <c r="F105" s="52" t="str">
        <f t="shared" si="4"/>
        <v/>
      </c>
      <c r="G105" s="53" t="str">
        <f t="shared" si="5"/>
        <v/>
      </c>
      <c r="H105" s="54"/>
    </row>
    <row r="106" spans="1:8" x14ac:dyDescent="0.45">
      <c r="A106" s="24" t="str">
        <f t="shared" si="3"/>
        <v/>
      </c>
      <c r="B106" s="29"/>
      <c r="C106" s="25"/>
      <c r="D106" s="26"/>
      <c r="E106" s="27"/>
      <c r="F106" s="37" t="str">
        <f t="shared" si="4"/>
        <v/>
      </c>
      <c r="G106" s="38" t="str">
        <f t="shared" si="5"/>
        <v/>
      </c>
      <c r="H106" s="28"/>
    </row>
    <row r="107" spans="1:8" x14ac:dyDescent="0.45">
      <c r="A107" s="47" t="str">
        <f t="shared" si="3"/>
        <v/>
      </c>
      <c r="B107" s="48"/>
      <c r="C107" s="49"/>
      <c r="D107" s="50"/>
      <c r="E107" s="51"/>
      <c r="F107" s="52" t="str">
        <f t="shared" si="4"/>
        <v/>
      </c>
      <c r="G107" s="53" t="str">
        <f t="shared" si="5"/>
        <v/>
      </c>
      <c r="H107" s="54"/>
    </row>
    <row r="108" spans="1:8" x14ac:dyDescent="0.45">
      <c r="A108" s="24" t="str">
        <f t="shared" si="3"/>
        <v/>
      </c>
      <c r="B108" s="29"/>
      <c r="C108" s="25"/>
      <c r="D108" s="26"/>
      <c r="E108" s="27"/>
      <c r="F108" s="37" t="str">
        <f t="shared" si="4"/>
        <v/>
      </c>
      <c r="G108" s="38" t="str">
        <f t="shared" si="5"/>
        <v/>
      </c>
      <c r="H108" s="28"/>
    </row>
    <row r="109" spans="1:8" x14ac:dyDescent="0.45">
      <c r="A109" s="47" t="str">
        <f t="shared" si="3"/>
        <v/>
      </c>
      <c r="B109" s="48"/>
      <c r="C109" s="49"/>
      <c r="D109" s="50"/>
      <c r="E109" s="51"/>
      <c r="F109" s="52" t="str">
        <f t="shared" si="4"/>
        <v/>
      </c>
      <c r="G109" s="53" t="str">
        <f t="shared" si="5"/>
        <v/>
      </c>
      <c r="H109" s="54"/>
    </row>
    <row r="110" spans="1:8" x14ac:dyDescent="0.45">
      <c r="A110" s="24" t="str">
        <f t="shared" si="3"/>
        <v/>
      </c>
      <c r="B110" s="29"/>
      <c r="C110" s="25"/>
      <c r="D110" s="26"/>
      <c r="E110" s="27"/>
      <c r="F110" s="37" t="str">
        <f t="shared" si="4"/>
        <v/>
      </c>
      <c r="G110" s="38" t="str">
        <f t="shared" si="5"/>
        <v/>
      </c>
      <c r="H110" s="28"/>
    </row>
    <row r="111" spans="1:8" x14ac:dyDescent="0.45">
      <c r="A111" s="47" t="str">
        <f t="shared" si="3"/>
        <v/>
      </c>
      <c r="B111" s="48"/>
      <c r="C111" s="49"/>
      <c r="D111" s="50"/>
      <c r="E111" s="51"/>
      <c r="F111" s="52" t="str">
        <f t="shared" si="4"/>
        <v/>
      </c>
      <c r="G111" s="53" t="str">
        <f t="shared" si="5"/>
        <v/>
      </c>
      <c r="H111" s="54"/>
    </row>
    <row r="112" spans="1:8" x14ac:dyDescent="0.45">
      <c r="A112" s="24" t="str">
        <f t="shared" si="3"/>
        <v/>
      </c>
      <c r="B112" s="29"/>
      <c r="C112" s="25"/>
      <c r="D112" s="26"/>
      <c r="E112" s="27"/>
      <c r="F112" s="37" t="str">
        <f t="shared" si="4"/>
        <v/>
      </c>
      <c r="G112" s="38" t="str">
        <f t="shared" si="5"/>
        <v/>
      </c>
      <c r="H112" s="28"/>
    </row>
    <row r="113" spans="1:8" x14ac:dyDescent="0.45">
      <c r="A113" s="47" t="str">
        <f t="shared" si="3"/>
        <v/>
      </c>
      <c r="B113" s="48"/>
      <c r="C113" s="49"/>
      <c r="D113" s="50"/>
      <c r="E113" s="51"/>
      <c r="F113" s="52" t="str">
        <f t="shared" si="4"/>
        <v/>
      </c>
      <c r="G113" s="53" t="str">
        <f t="shared" si="5"/>
        <v/>
      </c>
      <c r="H113" s="54"/>
    </row>
    <row r="114" spans="1:8" x14ac:dyDescent="0.45">
      <c r="A114" s="24" t="str">
        <f t="shared" si="3"/>
        <v/>
      </c>
      <c r="B114" s="29"/>
      <c r="C114" s="25"/>
      <c r="D114" s="26"/>
      <c r="E114" s="27"/>
      <c r="F114" s="37" t="str">
        <f t="shared" si="4"/>
        <v/>
      </c>
      <c r="G114" s="38" t="str">
        <f t="shared" si="5"/>
        <v/>
      </c>
      <c r="H114" s="28"/>
    </row>
    <row r="115" spans="1:8" x14ac:dyDescent="0.45">
      <c r="A115" s="47" t="str">
        <f t="shared" si="3"/>
        <v/>
      </c>
      <c r="B115" s="48"/>
      <c r="C115" s="49"/>
      <c r="D115" s="50"/>
      <c r="E115" s="51"/>
      <c r="F115" s="52" t="str">
        <f t="shared" si="4"/>
        <v/>
      </c>
      <c r="G115" s="53" t="str">
        <f t="shared" si="5"/>
        <v/>
      </c>
      <c r="H115" s="54"/>
    </row>
    <row r="116" spans="1:8" x14ac:dyDescent="0.45">
      <c r="A116" s="24" t="str">
        <f t="shared" si="3"/>
        <v/>
      </c>
      <c r="B116" s="29"/>
      <c r="C116" s="25"/>
      <c r="D116" s="26"/>
      <c r="E116" s="27"/>
      <c r="F116" s="37" t="str">
        <f t="shared" si="4"/>
        <v/>
      </c>
      <c r="G116" s="38" t="str">
        <f t="shared" si="5"/>
        <v/>
      </c>
      <c r="H116" s="28"/>
    </row>
    <row r="117" spans="1:8" x14ac:dyDescent="0.45">
      <c r="A117" s="47" t="str">
        <f t="shared" si="3"/>
        <v/>
      </c>
      <c r="B117" s="48"/>
      <c r="C117" s="49"/>
      <c r="D117" s="50"/>
      <c r="E117" s="51"/>
      <c r="F117" s="52" t="str">
        <f t="shared" si="4"/>
        <v/>
      </c>
      <c r="G117" s="53" t="str">
        <f t="shared" si="5"/>
        <v/>
      </c>
      <c r="H117" s="54"/>
    </row>
    <row r="118" spans="1:8" x14ac:dyDescent="0.45">
      <c r="A118" s="24" t="str">
        <f t="shared" si="3"/>
        <v/>
      </c>
      <c r="B118" s="29"/>
      <c r="C118" s="25"/>
      <c r="D118" s="26"/>
      <c r="E118" s="27"/>
      <c r="F118" s="37" t="str">
        <f t="shared" si="4"/>
        <v/>
      </c>
      <c r="G118" s="38" t="str">
        <f t="shared" si="5"/>
        <v/>
      </c>
      <c r="H118" s="28"/>
    </row>
    <row r="119" spans="1:8" x14ac:dyDescent="0.45">
      <c r="A119" s="47" t="str">
        <f t="shared" si="3"/>
        <v/>
      </c>
      <c r="B119" s="48"/>
      <c r="C119" s="49"/>
      <c r="D119" s="50"/>
      <c r="E119" s="51"/>
      <c r="F119" s="52" t="str">
        <f t="shared" si="4"/>
        <v/>
      </c>
      <c r="G119" s="53" t="str">
        <f t="shared" si="5"/>
        <v/>
      </c>
      <c r="H119" s="54"/>
    </row>
    <row r="120" spans="1:8" x14ac:dyDescent="0.45">
      <c r="A120" s="24" t="str">
        <f t="shared" si="3"/>
        <v/>
      </c>
      <c r="B120" s="29"/>
      <c r="C120" s="25"/>
      <c r="D120" s="26"/>
      <c r="E120" s="27"/>
      <c r="F120" s="37" t="str">
        <f t="shared" si="4"/>
        <v/>
      </c>
      <c r="G120" s="38" t="str">
        <f t="shared" si="5"/>
        <v/>
      </c>
      <c r="H120" s="28"/>
    </row>
    <row r="121" spans="1:8" x14ac:dyDescent="0.45">
      <c r="A121" s="47" t="str">
        <f t="shared" si="3"/>
        <v/>
      </c>
      <c r="B121" s="48"/>
      <c r="C121" s="49"/>
      <c r="D121" s="50"/>
      <c r="E121" s="51"/>
      <c r="F121" s="52" t="str">
        <f t="shared" si="4"/>
        <v/>
      </c>
      <c r="G121" s="53" t="str">
        <f t="shared" si="5"/>
        <v/>
      </c>
      <c r="H121" s="54"/>
    </row>
    <row r="122" spans="1:8" x14ac:dyDescent="0.45">
      <c r="A122" s="24" t="str">
        <f t="shared" si="3"/>
        <v/>
      </c>
      <c r="B122" s="29"/>
      <c r="C122" s="25"/>
      <c r="D122" s="26"/>
      <c r="E122" s="27"/>
      <c r="F122" s="37" t="str">
        <f t="shared" si="4"/>
        <v/>
      </c>
      <c r="G122" s="38" t="str">
        <f t="shared" si="5"/>
        <v/>
      </c>
      <c r="H122" s="28"/>
    </row>
    <row r="123" spans="1:8" x14ac:dyDescent="0.45">
      <c r="A123" s="47" t="str">
        <f t="shared" si="3"/>
        <v/>
      </c>
      <c r="B123" s="48"/>
      <c r="C123" s="49"/>
      <c r="D123" s="50"/>
      <c r="E123" s="51"/>
      <c r="F123" s="52" t="str">
        <f t="shared" si="4"/>
        <v/>
      </c>
      <c r="G123" s="53" t="str">
        <f t="shared" si="5"/>
        <v/>
      </c>
      <c r="H123" s="54"/>
    </row>
    <row r="124" spans="1:8" x14ac:dyDescent="0.45">
      <c r="A124" s="24" t="str">
        <f t="shared" si="3"/>
        <v/>
      </c>
      <c r="B124" s="29"/>
      <c r="C124" s="25"/>
      <c r="D124" s="26"/>
      <c r="E124" s="27"/>
      <c r="F124" s="37" t="str">
        <f t="shared" si="4"/>
        <v/>
      </c>
      <c r="G124" s="38" t="str">
        <f t="shared" si="5"/>
        <v/>
      </c>
      <c r="H124" s="28"/>
    </row>
    <row r="125" spans="1:8" x14ac:dyDescent="0.45">
      <c r="A125" s="47" t="str">
        <f t="shared" si="3"/>
        <v/>
      </c>
      <c r="B125" s="48"/>
      <c r="C125" s="49"/>
      <c r="D125" s="50"/>
      <c r="E125" s="51"/>
      <c r="F125" s="52" t="str">
        <f t="shared" si="4"/>
        <v/>
      </c>
      <c r="G125" s="53" t="str">
        <f t="shared" si="5"/>
        <v/>
      </c>
      <c r="H125" s="54"/>
    </row>
    <row r="126" spans="1:8" x14ac:dyDescent="0.45">
      <c r="A126" s="24" t="str">
        <f t="shared" si="3"/>
        <v/>
      </c>
      <c r="B126" s="29"/>
      <c r="C126" s="25"/>
      <c r="D126" s="26"/>
      <c r="E126" s="27"/>
      <c r="F126" s="37" t="str">
        <f t="shared" si="4"/>
        <v/>
      </c>
      <c r="G126" s="38" t="str">
        <f t="shared" si="5"/>
        <v/>
      </c>
      <c r="H126" s="28"/>
    </row>
    <row r="127" spans="1:8" x14ac:dyDescent="0.45">
      <c r="A127" s="47" t="str">
        <f t="shared" si="3"/>
        <v/>
      </c>
      <c r="B127" s="48"/>
      <c r="C127" s="49"/>
      <c r="D127" s="50"/>
      <c r="E127" s="51"/>
      <c r="F127" s="52" t="str">
        <f t="shared" si="4"/>
        <v/>
      </c>
      <c r="G127" s="53" t="str">
        <f t="shared" si="5"/>
        <v/>
      </c>
      <c r="H127" s="54"/>
    </row>
    <row r="128" spans="1:8" x14ac:dyDescent="0.45">
      <c r="A128" s="24" t="str">
        <f t="shared" si="3"/>
        <v/>
      </c>
      <c r="B128" s="29"/>
      <c r="C128" s="25"/>
      <c r="D128" s="26"/>
      <c r="E128" s="27"/>
      <c r="F128" s="37" t="str">
        <f t="shared" si="4"/>
        <v/>
      </c>
      <c r="G128" s="38" t="str">
        <f t="shared" si="5"/>
        <v/>
      </c>
      <c r="H128" s="28"/>
    </row>
    <row r="129" spans="1:8" x14ac:dyDescent="0.45">
      <c r="A129" s="47" t="str">
        <f t="shared" si="3"/>
        <v/>
      </c>
      <c r="B129" s="48"/>
      <c r="C129" s="49"/>
      <c r="D129" s="50"/>
      <c r="E129" s="51"/>
      <c r="F129" s="52" t="str">
        <f t="shared" si="4"/>
        <v/>
      </c>
      <c r="G129" s="53" t="str">
        <f t="shared" si="5"/>
        <v/>
      </c>
      <c r="H129" s="54"/>
    </row>
    <row r="130" spans="1:8" x14ac:dyDescent="0.45">
      <c r="A130" s="24" t="str">
        <f t="shared" si="3"/>
        <v/>
      </c>
      <c r="B130" s="29"/>
      <c r="C130" s="25"/>
      <c r="D130" s="26"/>
      <c r="E130" s="27"/>
      <c r="F130" s="37" t="str">
        <f t="shared" si="4"/>
        <v/>
      </c>
      <c r="G130" s="38" t="str">
        <f t="shared" si="5"/>
        <v/>
      </c>
      <c r="H130" s="28"/>
    </row>
    <row r="131" spans="1:8" x14ac:dyDescent="0.45">
      <c r="A131" s="47" t="str">
        <f t="shared" si="3"/>
        <v/>
      </c>
      <c r="B131" s="48"/>
      <c r="C131" s="49"/>
      <c r="D131" s="50"/>
      <c r="E131" s="51"/>
      <c r="F131" s="52" t="str">
        <f t="shared" si="4"/>
        <v/>
      </c>
      <c r="G131" s="53" t="str">
        <f t="shared" si="5"/>
        <v/>
      </c>
      <c r="H131" s="54"/>
    </row>
    <row r="132" spans="1:8" x14ac:dyDescent="0.45">
      <c r="A132" s="24" t="str">
        <f t="shared" si="3"/>
        <v/>
      </c>
      <c r="B132" s="29"/>
      <c r="C132" s="25"/>
      <c r="D132" s="26"/>
      <c r="E132" s="27"/>
      <c r="F132" s="37" t="str">
        <f t="shared" si="4"/>
        <v/>
      </c>
      <c r="G132" s="38" t="str">
        <f t="shared" si="5"/>
        <v/>
      </c>
      <c r="H132" s="28"/>
    </row>
    <row r="133" spans="1:8" x14ac:dyDescent="0.45">
      <c r="A133" s="47" t="str">
        <f t="shared" si="3"/>
        <v/>
      </c>
      <c r="B133" s="48"/>
      <c r="C133" s="49"/>
      <c r="D133" s="50"/>
      <c r="E133" s="51"/>
      <c r="F133" s="52" t="str">
        <f t="shared" si="4"/>
        <v/>
      </c>
      <c r="G133" s="53" t="str">
        <f t="shared" si="5"/>
        <v/>
      </c>
      <c r="H133" s="54"/>
    </row>
    <row r="134" spans="1:8" x14ac:dyDescent="0.45">
      <c r="A134" s="24" t="str">
        <f t="shared" si="3"/>
        <v/>
      </c>
      <c r="B134" s="29"/>
      <c r="C134" s="25"/>
      <c r="D134" s="26"/>
      <c r="E134" s="27"/>
      <c r="F134" s="37" t="str">
        <f t="shared" si="4"/>
        <v/>
      </c>
      <c r="G134" s="38" t="str">
        <f t="shared" si="5"/>
        <v/>
      </c>
      <c r="H134" s="28"/>
    </row>
    <row r="135" spans="1:8" x14ac:dyDescent="0.45">
      <c r="A135" s="47" t="str">
        <f t="shared" si="3"/>
        <v/>
      </c>
      <c r="B135" s="48"/>
      <c r="C135" s="49"/>
      <c r="D135" s="50"/>
      <c r="E135" s="51"/>
      <c r="F135" s="52" t="str">
        <f t="shared" si="4"/>
        <v/>
      </c>
      <c r="G135" s="53" t="str">
        <f t="shared" si="5"/>
        <v/>
      </c>
      <c r="H135" s="54"/>
    </row>
    <row r="136" spans="1:8" x14ac:dyDescent="0.45">
      <c r="A136" s="24" t="str">
        <f t="shared" si="3"/>
        <v/>
      </c>
      <c r="B136" s="29"/>
      <c r="C136" s="25"/>
      <c r="D136" s="26"/>
      <c r="E136" s="27"/>
      <c r="F136" s="37" t="str">
        <f t="shared" si="4"/>
        <v/>
      </c>
      <c r="G136" s="38" t="str">
        <f t="shared" si="5"/>
        <v/>
      </c>
      <c r="H136" s="28"/>
    </row>
    <row r="137" spans="1:8" x14ac:dyDescent="0.45">
      <c r="A137" s="47" t="str">
        <f t="shared" si="3"/>
        <v/>
      </c>
      <c r="B137" s="48"/>
      <c r="C137" s="49"/>
      <c r="D137" s="50"/>
      <c r="E137" s="51"/>
      <c r="F137" s="52" t="str">
        <f t="shared" si="4"/>
        <v/>
      </c>
      <c r="G137" s="53" t="str">
        <f t="shared" si="5"/>
        <v/>
      </c>
      <c r="H137" s="54"/>
    </row>
    <row r="138" spans="1:8" x14ac:dyDescent="0.45">
      <c r="A138" s="24" t="str">
        <f t="shared" si="3"/>
        <v/>
      </c>
      <c r="B138" s="29"/>
      <c r="C138" s="25"/>
      <c r="D138" s="26"/>
      <c r="E138" s="27"/>
      <c r="F138" s="37" t="str">
        <f t="shared" si="4"/>
        <v/>
      </c>
      <c r="G138" s="38" t="str">
        <f t="shared" si="5"/>
        <v/>
      </c>
      <c r="H138" s="28"/>
    </row>
    <row r="139" spans="1:8" x14ac:dyDescent="0.45">
      <c r="A139" s="47" t="str">
        <f t="shared" ref="A139:A202" si="6">IF(B139="","",ROW()-9)</f>
        <v/>
      </c>
      <c r="B139" s="48"/>
      <c r="C139" s="49"/>
      <c r="D139" s="50"/>
      <c r="E139" s="51"/>
      <c r="F139" s="52" t="str">
        <f t="shared" ref="F139:F202" si="7">IF(B139="","",D139*65000)</f>
        <v/>
      </c>
      <c r="G139" s="53" t="str">
        <f t="shared" ref="G139:G202" si="8">IF(B139="","",E139-F139)</f>
        <v/>
      </c>
      <c r="H139" s="54"/>
    </row>
    <row r="140" spans="1:8" x14ac:dyDescent="0.45">
      <c r="A140" s="24" t="str">
        <f t="shared" si="6"/>
        <v/>
      </c>
      <c r="B140" s="29"/>
      <c r="C140" s="25"/>
      <c r="D140" s="26"/>
      <c r="E140" s="27"/>
      <c r="F140" s="37" t="str">
        <f t="shared" si="7"/>
        <v/>
      </c>
      <c r="G140" s="38" t="str">
        <f t="shared" si="8"/>
        <v/>
      </c>
      <c r="H140" s="28"/>
    </row>
    <row r="141" spans="1:8" x14ac:dyDescent="0.45">
      <c r="A141" s="47" t="str">
        <f t="shared" si="6"/>
        <v/>
      </c>
      <c r="B141" s="48"/>
      <c r="C141" s="49"/>
      <c r="D141" s="50"/>
      <c r="E141" s="51"/>
      <c r="F141" s="52" t="str">
        <f t="shared" si="7"/>
        <v/>
      </c>
      <c r="G141" s="53" t="str">
        <f t="shared" si="8"/>
        <v/>
      </c>
      <c r="H141" s="54"/>
    </row>
    <row r="142" spans="1:8" x14ac:dyDescent="0.45">
      <c r="A142" s="24" t="str">
        <f t="shared" si="6"/>
        <v/>
      </c>
      <c r="B142" s="29"/>
      <c r="C142" s="25"/>
      <c r="D142" s="26"/>
      <c r="E142" s="27"/>
      <c r="F142" s="37" t="str">
        <f t="shared" si="7"/>
        <v/>
      </c>
      <c r="G142" s="38" t="str">
        <f t="shared" si="8"/>
        <v/>
      </c>
      <c r="H142" s="28"/>
    </row>
    <row r="143" spans="1:8" x14ac:dyDescent="0.45">
      <c r="A143" s="47" t="str">
        <f t="shared" si="6"/>
        <v/>
      </c>
      <c r="B143" s="48"/>
      <c r="C143" s="49"/>
      <c r="D143" s="50"/>
      <c r="E143" s="51"/>
      <c r="F143" s="52" t="str">
        <f t="shared" si="7"/>
        <v/>
      </c>
      <c r="G143" s="53" t="str">
        <f t="shared" si="8"/>
        <v/>
      </c>
      <c r="H143" s="54"/>
    </row>
    <row r="144" spans="1:8" x14ac:dyDescent="0.45">
      <c r="A144" s="24" t="str">
        <f t="shared" si="6"/>
        <v/>
      </c>
      <c r="B144" s="29"/>
      <c r="C144" s="25"/>
      <c r="D144" s="26"/>
      <c r="E144" s="27"/>
      <c r="F144" s="37" t="str">
        <f t="shared" si="7"/>
        <v/>
      </c>
      <c r="G144" s="38" t="str">
        <f t="shared" si="8"/>
        <v/>
      </c>
      <c r="H144" s="28"/>
    </row>
    <row r="145" spans="1:8" x14ac:dyDescent="0.45">
      <c r="A145" s="47" t="str">
        <f t="shared" si="6"/>
        <v/>
      </c>
      <c r="B145" s="48"/>
      <c r="C145" s="49"/>
      <c r="D145" s="50"/>
      <c r="E145" s="51"/>
      <c r="F145" s="52" t="str">
        <f t="shared" si="7"/>
        <v/>
      </c>
      <c r="G145" s="53" t="str">
        <f t="shared" si="8"/>
        <v/>
      </c>
      <c r="H145" s="54"/>
    </row>
    <row r="146" spans="1:8" x14ac:dyDescent="0.45">
      <c r="A146" s="24" t="str">
        <f t="shared" si="6"/>
        <v/>
      </c>
      <c r="B146" s="29"/>
      <c r="C146" s="25"/>
      <c r="D146" s="26"/>
      <c r="E146" s="27"/>
      <c r="F146" s="37" t="str">
        <f t="shared" si="7"/>
        <v/>
      </c>
      <c r="G146" s="38" t="str">
        <f t="shared" si="8"/>
        <v/>
      </c>
      <c r="H146" s="28"/>
    </row>
    <row r="147" spans="1:8" x14ac:dyDescent="0.45">
      <c r="A147" s="47" t="str">
        <f t="shared" si="6"/>
        <v/>
      </c>
      <c r="B147" s="48"/>
      <c r="C147" s="49"/>
      <c r="D147" s="50"/>
      <c r="E147" s="51"/>
      <c r="F147" s="52" t="str">
        <f t="shared" si="7"/>
        <v/>
      </c>
      <c r="G147" s="53" t="str">
        <f t="shared" si="8"/>
        <v/>
      </c>
      <c r="H147" s="54"/>
    </row>
    <row r="148" spans="1:8" x14ac:dyDescent="0.45">
      <c r="A148" s="24" t="str">
        <f t="shared" si="6"/>
        <v/>
      </c>
      <c r="B148" s="29"/>
      <c r="C148" s="25"/>
      <c r="D148" s="26"/>
      <c r="E148" s="27"/>
      <c r="F148" s="37" t="str">
        <f t="shared" si="7"/>
        <v/>
      </c>
      <c r="G148" s="38" t="str">
        <f t="shared" si="8"/>
        <v/>
      </c>
      <c r="H148" s="28"/>
    </row>
    <row r="149" spans="1:8" x14ac:dyDescent="0.45">
      <c r="A149" s="47" t="str">
        <f t="shared" si="6"/>
        <v/>
      </c>
      <c r="B149" s="48"/>
      <c r="C149" s="49"/>
      <c r="D149" s="50"/>
      <c r="E149" s="51"/>
      <c r="F149" s="52" t="str">
        <f t="shared" si="7"/>
        <v/>
      </c>
      <c r="G149" s="53" t="str">
        <f t="shared" si="8"/>
        <v/>
      </c>
      <c r="H149" s="54"/>
    </row>
    <row r="150" spans="1:8" x14ac:dyDescent="0.45">
      <c r="A150" s="24" t="str">
        <f t="shared" si="6"/>
        <v/>
      </c>
      <c r="B150" s="29"/>
      <c r="C150" s="25"/>
      <c r="D150" s="26"/>
      <c r="E150" s="27"/>
      <c r="F150" s="37" t="str">
        <f t="shared" si="7"/>
        <v/>
      </c>
      <c r="G150" s="38" t="str">
        <f t="shared" si="8"/>
        <v/>
      </c>
      <c r="H150" s="28"/>
    </row>
    <row r="151" spans="1:8" x14ac:dyDescent="0.45">
      <c r="A151" s="47" t="str">
        <f t="shared" si="6"/>
        <v/>
      </c>
      <c r="B151" s="48"/>
      <c r="C151" s="49"/>
      <c r="D151" s="50"/>
      <c r="E151" s="51"/>
      <c r="F151" s="52" t="str">
        <f t="shared" si="7"/>
        <v/>
      </c>
      <c r="G151" s="53" t="str">
        <f t="shared" si="8"/>
        <v/>
      </c>
      <c r="H151" s="54"/>
    </row>
    <row r="152" spans="1:8" x14ac:dyDescent="0.45">
      <c r="A152" s="24" t="str">
        <f t="shared" si="6"/>
        <v/>
      </c>
      <c r="B152" s="29"/>
      <c r="C152" s="25"/>
      <c r="D152" s="26"/>
      <c r="E152" s="27"/>
      <c r="F152" s="37" t="str">
        <f t="shared" si="7"/>
        <v/>
      </c>
      <c r="G152" s="38" t="str">
        <f t="shared" si="8"/>
        <v/>
      </c>
      <c r="H152" s="28"/>
    </row>
    <row r="153" spans="1:8" x14ac:dyDescent="0.45">
      <c r="A153" s="47" t="str">
        <f t="shared" si="6"/>
        <v/>
      </c>
      <c r="B153" s="48"/>
      <c r="C153" s="49"/>
      <c r="D153" s="50"/>
      <c r="E153" s="51"/>
      <c r="F153" s="52" t="str">
        <f t="shared" si="7"/>
        <v/>
      </c>
      <c r="G153" s="53" t="str">
        <f t="shared" si="8"/>
        <v/>
      </c>
      <c r="H153" s="54"/>
    </row>
    <row r="154" spans="1:8" x14ac:dyDescent="0.45">
      <c r="A154" s="24" t="str">
        <f t="shared" si="6"/>
        <v/>
      </c>
      <c r="B154" s="29"/>
      <c r="C154" s="25"/>
      <c r="D154" s="26"/>
      <c r="E154" s="27"/>
      <c r="F154" s="37" t="str">
        <f t="shared" si="7"/>
        <v/>
      </c>
      <c r="G154" s="38" t="str">
        <f t="shared" si="8"/>
        <v/>
      </c>
      <c r="H154" s="28"/>
    </row>
    <row r="155" spans="1:8" x14ac:dyDescent="0.45">
      <c r="A155" s="47" t="str">
        <f t="shared" si="6"/>
        <v/>
      </c>
      <c r="B155" s="48"/>
      <c r="C155" s="49"/>
      <c r="D155" s="50"/>
      <c r="E155" s="51"/>
      <c r="F155" s="52" t="str">
        <f t="shared" si="7"/>
        <v/>
      </c>
      <c r="G155" s="53" t="str">
        <f t="shared" si="8"/>
        <v/>
      </c>
      <c r="H155" s="54"/>
    </row>
    <row r="156" spans="1:8" x14ac:dyDescent="0.45">
      <c r="A156" s="24" t="str">
        <f t="shared" si="6"/>
        <v/>
      </c>
      <c r="B156" s="29"/>
      <c r="C156" s="25"/>
      <c r="D156" s="26"/>
      <c r="E156" s="27"/>
      <c r="F156" s="37" t="str">
        <f t="shared" si="7"/>
        <v/>
      </c>
      <c r="G156" s="38" t="str">
        <f t="shared" si="8"/>
        <v/>
      </c>
      <c r="H156" s="28"/>
    </row>
    <row r="157" spans="1:8" x14ac:dyDescent="0.45">
      <c r="A157" s="47" t="str">
        <f t="shared" si="6"/>
        <v/>
      </c>
      <c r="B157" s="48"/>
      <c r="C157" s="49"/>
      <c r="D157" s="50"/>
      <c r="E157" s="51"/>
      <c r="F157" s="52" t="str">
        <f t="shared" si="7"/>
        <v/>
      </c>
      <c r="G157" s="53" t="str">
        <f t="shared" si="8"/>
        <v/>
      </c>
      <c r="H157" s="54"/>
    </row>
    <row r="158" spans="1:8" x14ac:dyDescent="0.45">
      <c r="A158" s="24" t="str">
        <f t="shared" si="6"/>
        <v/>
      </c>
      <c r="B158" s="29"/>
      <c r="C158" s="25"/>
      <c r="D158" s="26"/>
      <c r="E158" s="27"/>
      <c r="F158" s="37" t="str">
        <f t="shared" si="7"/>
        <v/>
      </c>
      <c r="G158" s="38" t="str">
        <f t="shared" si="8"/>
        <v/>
      </c>
      <c r="H158" s="28"/>
    </row>
    <row r="159" spans="1:8" x14ac:dyDescent="0.45">
      <c r="A159" s="47" t="str">
        <f t="shared" si="6"/>
        <v/>
      </c>
      <c r="B159" s="48"/>
      <c r="C159" s="49"/>
      <c r="D159" s="50"/>
      <c r="E159" s="51"/>
      <c r="F159" s="52" t="str">
        <f t="shared" si="7"/>
        <v/>
      </c>
      <c r="G159" s="53" t="str">
        <f t="shared" si="8"/>
        <v/>
      </c>
      <c r="H159" s="54"/>
    </row>
    <row r="160" spans="1:8" x14ac:dyDescent="0.45">
      <c r="A160" s="24" t="str">
        <f t="shared" si="6"/>
        <v/>
      </c>
      <c r="B160" s="29"/>
      <c r="C160" s="25"/>
      <c r="D160" s="26"/>
      <c r="E160" s="27"/>
      <c r="F160" s="37" t="str">
        <f t="shared" si="7"/>
        <v/>
      </c>
      <c r="G160" s="38" t="str">
        <f t="shared" si="8"/>
        <v/>
      </c>
      <c r="H160" s="28"/>
    </row>
    <row r="161" spans="1:8" x14ac:dyDescent="0.45">
      <c r="A161" s="47" t="str">
        <f t="shared" si="6"/>
        <v/>
      </c>
      <c r="B161" s="48"/>
      <c r="C161" s="49"/>
      <c r="D161" s="50"/>
      <c r="E161" s="51"/>
      <c r="F161" s="52" t="str">
        <f t="shared" si="7"/>
        <v/>
      </c>
      <c r="G161" s="53" t="str">
        <f t="shared" si="8"/>
        <v/>
      </c>
      <c r="H161" s="54"/>
    </row>
    <row r="162" spans="1:8" x14ac:dyDescent="0.45">
      <c r="A162" s="24" t="str">
        <f t="shared" si="6"/>
        <v/>
      </c>
      <c r="B162" s="29"/>
      <c r="C162" s="25"/>
      <c r="D162" s="26"/>
      <c r="E162" s="27"/>
      <c r="F162" s="37" t="str">
        <f t="shared" si="7"/>
        <v/>
      </c>
      <c r="G162" s="38" t="str">
        <f t="shared" si="8"/>
        <v/>
      </c>
      <c r="H162" s="28"/>
    </row>
    <row r="163" spans="1:8" x14ac:dyDescent="0.45">
      <c r="A163" s="47" t="str">
        <f t="shared" si="6"/>
        <v/>
      </c>
      <c r="B163" s="48"/>
      <c r="C163" s="49"/>
      <c r="D163" s="50"/>
      <c r="E163" s="51"/>
      <c r="F163" s="52" t="str">
        <f t="shared" si="7"/>
        <v/>
      </c>
      <c r="G163" s="53" t="str">
        <f t="shared" si="8"/>
        <v/>
      </c>
      <c r="H163" s="54"/>
    </row>
    <row r="164" spans="1:8" x14ac:dyDescent="0.45">
      <c r="A164" s="24" t="str">
        <f t="shared" si="6"/>
        <v/>
      </c>
      <c r="B164" s="29"/>
      <c r="C164" s="25"/>
      <c r="D164" s="26"/>
      <c r="E164" s="27"/>
      <c r="F164" s="37" t="str">
        <f t="shared" si="7"/>
        <v/>
      </c>
      <c r="G164" s="38" t="str">
        <f t="shared" si="8"/>
        <v/>
      </c>
      <c r="H164" s="28"/>
    </row>
    <row r="165" spans="1:8" x14ac:dyDescent="0.45">
      <c r="A165" s="47" t="str">
        <f t="shared" si="6"/>
        <v/>
      </c>
      <c r="B165" s="48"/>
      <c r="C165" s="49"/>
      <c r="D165" s="50"/>
      <c r="E165" s="51"/>
      <c r="F165" s="52" t="str">
        <f t="shared" si="7"/>
        <v/>
      </c>
      <c r="G165" s="53" t="str">
        <f t="shared" si="8"/>
        <v/>
      </c>
      <c r="H165" s="54"/>
    </row>
    <row r="166" spans="1:8" x14ac:dyDescent="0.45">
      <c r="A166" s="24" t="str">
        <f t="shared" si="6"/>
        <v/>
      </c>
      <c r="B166" s="29"/>
      <c r="C166" s="25"/>
      <c r="D166" s="26"/>
      <c r="E166" s="27"/>
      <c r="F166" s="37" t="str">
        <f t="shared" si="7"/>
        <v/>
      </c>
      <c r="G166" s="38" t="str">
        <f t="shared" si="8"/>
        <v/>
      </c>
      <c r="H166" s="28"/>
    </row>
    <row r="167" spans="1:8" x14ac:dyDescent="0.45">
      <c r="A167" s="47" t="str">
        <f t="shared" si="6"/>
        <v/>
      </c>
      <c r="B167" s="48"/>
      <c r="C167" s="49"/>
      <c r="D167" s="50"/>
      <c r="E167" s="51"/>
      <c r="F167" s="52" t="str">
        <f t="shared" si="7"/>
        <v/>
      </c>
      <c r="G167" s="53" t="str">
        <f t="shared" si="8"/>
        <v/>
      </c>
      <c r="H167" s="54"/>
    </row>
    <row r="168" spans="1:8" x14ac:dyDescent="0.45">
      <c r="A168" s="24" t="str">
        <f t="shared" si="6"/>
        <v/>
      </c>
      <c r="B168" s="29"/>
      <c r="C168" s="25"/>
      <c r="D168" s="26"/>
      <c r="E168" s="27"/>
      <c r="F168" s="37" t="str">
        <f t="shared" si="7"/>
        <v/>
      </c>
      <c r="G168" s="38" t="str">
        <f t="shared" si="8"/>
        <v/>
      </c>
      <c r="H168" s="28"/>
    </row>
    <row r="169" spans="1:8" x14ac:dyDescent="0.45">
      <c r="A169" s="47" t="str">
        <f t="shared" si="6"/>
        <v/>
      </c>
      <c r="B169" s="48"/>
      <c r="C169" s="49"/>
      <c r="D169" s="50"/>
      <c r="E169" s="51"/>
      <c r="F169" s="52" t="str">
        <f t="shared" si="7"/>
        <v/>
      </c>
      <c r="G169" s="53" t="str">
        <f t="shared" si="8"/>
        <v/>
      </c>
      <c r="H169" s="54"/>
    </row>
    <row r="170" spans="1:8" x14ac:dyDescent="0.45">
      <c r="A170" s="24" t="str">
        <f t="shared" si="6"/>
        <v/>
      </c>
      <c r="B170" s="29"/>
      <c r="C170" s="25"/>
      <c r="D170" s="26"/>
      <c r="E170" s="27"/>
      <c r="F170" s="37" t="str">
        <f t="shared" si="7"/>
        <v/>
      </c>
      <c r="G170" s="38" t="str">
        <f t="shared" si="8"/>
        <v/>
      </c>
      <c r="H170" s="28"/>
    </row>
    <row r="171" spans="1:8" x14ac:dyDescent="0.45">
      <c r="A171" s="47" t="str">
        <f t="shared" si="6"/>
        <v/>
      </c>
      <c r="B171" s="48"/>
      <c r="C171" s="49"/>
      <c r="D171" s="50"/>
      <c r="E171" s="51"/>
      <c r="F171" s="52" t="str">
        <f t="shared" si="7"/>
        <v/>
      </c>
      <c r="G171" s="53" t="str">
        <f t="shared" si="8"/>
        <v/>
      </c>
      <c r="H171" s="54"/>
    </row>
    <row r="172" spans="1:8" x14ac:dyDescent="0.45">
      <c r="A172" s="24" t="str">
        <f t="shared" si="6"/>
        <v/>
      </c>
      <c r="B172" s="29"/>
      <c r="C172" s="25"/>
      <c r="D172" s="26"/>
      <c r="E172" s="27"/>
      <c r="F172" s="37" t="str">
        <f t="shared" si="7"/>
        <v/>
      </c>
      <c r="G172" s="38" t="str">
        <f t="shared" si="8"/>
        <v/>
      </c>
      <c r="H172" s="28"/>
    </row>
    <row r="173" spans="1:8" x14ac:dyDescent="0.45">
      <c r="A173" s="47" t="str">
        <f t="shared" si="6"/>
        <v/>
      </c>
      <c r="B173" s="48"/>
      <c r="C173" s="49"/>
      <c r="D173" s="50"/>
      <c r="E173" s="51"/>
      <c r="F173" s="52" t="str">
        <f t="shared" si="7"/>
        <v/>
      </c>
      <c r="G173" s="53" t="str">
        <f t="shared" si="8"/>
        <v/>
      </c>
      <c r="H173" s="54"/>
    </row>
    <row r="174" spans="1:8" x14ac:dyDescent="0.45">
      <c r="A174" s="24" t="str">
        <f t="shared" si="6"/>
        <v/>
      </c>
      <c r="B174" s="29"/>
      <c r="C174" s="25"/>
      <c r="D174" s="26"/>
      <c r="E174" s="27"/>
      <c r="F174" s="37" t="str">
        <f t="shared" si="7"/>
        <v/>
      </c>
      <c r="G174" s="38" t="str">
        <f t="shared" si="8"/>
        <v/>
      </c>
      <c r="H174" s="28"/>
    </row>
    <row r="175" spans="1:8" x14ac:dyDescent="0.45">
      <c r="A175" s="47" t="str">
        <f t="shared" si="6"/>
        <v/>
      </c>
      <c r="B175" s="48"/>
      <c r="C175" s="49"/>
      <c r="D175" s="50"/>
      <c r="E175" s="51"/>
      <c r="F175" s="52" t="str">
        <f t="shared" si="7"/>
        <v/>
      </c>
      <c r="G175" s="53" t="str">
        <f t="shared" si="8"/>
        <v/>
      </c>
      <c r="H175" s="54"/>
    </row>
    <row r="176" spans="1:8" x14ac:dyDescent="0.45">
      <c r="A176" s="24" t="str">
        <f t="shared" si="6"/>
        <v/>
      </c>
      <c r="B176" s="29"/>
      <c r="C176" s="25"/>
      <c r="D176" s="26"/>
      <c r="E176" s="27"/>
      <c r="F176" s="37" t="str">
        <f t="shared" si="7"/>
        <v/>
      </c>
      <c r="G176" s="38" t="str">
        <f t="shared" si="8"/>
        <v/>
      </c>
      <c r="H176" s="28"/>
    </row>
    <row r="177" spans="1:8" x14ac:dyDescent="0.45">
      <c r="A177" s="47" t="str">
        <f t="shared" si="6"/>
        <v/>
      </c>
      <c r="B177" s="48"/>
      <c r="C177" s="49"/>
      <c r="D177" s="50"/>
      <c r="E177" s="51"/>
      <c r="F177" s="52" t="str">
        <f t="shared" si="7"/>
        <v/>
      </c>
      <c r="G177" s="53" t="str">
        <f t="shared" si="8"/>
        <v/>
      </c>
      <c r="H177" s="54"/>
    </row>
    <row r="178" spans="1:8" x14ac:dyDescent="0.45">
      <c r="A178" s="24" t="str">
        <f t="shared" si="6"/>
        <v/>
      </c>
      <c r="B178" s="29"/>
      <c r="C178" s="25"/>
      <c r="D178" s="26"/>
      <c r="E178" s="27"/>
      <c r="F178" s="37" t="str">
        <f t="shared" si="7"/>
        <v/>
      </c>
      <c r="G178" s="38" t="str">
        <f t="shared" si="8"/>
        <v/>
      </c>
      <c r="H178" s="28"/>
    </row>
    <row r="179" spans="1:8" x14ac:dyDescent="0.45">
      <c r="A179" s="47" t="str">
        <f t="shared" si="6"/>
        <v/>
      </c>
      <c r="B179" s="48"/>
      <c r="C179" s="49"/>
      <c r="D179" s="50"/>
      <c r="E179" s="51"/>
      <c r="F179" s="52" t="str">
        <f t="shared" si="7"/>
        <v/>
      </c>
      <c r="G179" s="53" t="str">
        <f t="shared" si="8"/>
        <v/>
      </c>
      <c r="H179" s="54"/>
    </row>
    <row r="180" spans="1:8" x14ac:dyDescent="0.45">
      <c r="A180" s="24" t="str">
        <f t="shared" si="6"/>
        <v/>
      </c>
      <c r="B180" s="29"/>
      <c r="C180" s="25"/>
      <c r="D180" s="26"/>
      <c r="E180" s="27"/>
      <c r="F180" s="37" t="str">
        <f t="shared" si="7"/>
        <v/>
      </c>
      <c r="G180" s="38" t="str">
        <f t="shared" si="8"/>
        <v/>
      </c>
      <c r="H180" s="28"/>
    </row>
    <row r="181" spans="1:8" x14ac:dyDescent="0.45">
      <c r="A181" s="47" t="str">
        <f t="shared" si="6"/>
        <v/>
      </c>
      <c r="B181" s="48"/>
      <c r="C181" s="49"/>
      <c r="D181" s="50"/>
      <c r="E181" s="51"/>
      <c r="F181" s="52" t="str">
        <f t="shared" si="7"/>
        <v/>
      </c>
      <c r="G181" s="53" t="str">
        <f t="shared" si="8"/>
        <v/>
      </c>
      <c r="H181" s="54"/>
    </row>
    <row r="182" spans="1:8" x14ac:dyDescent="0.45">
      <c r="A182" s="24" t="str">
        <f t="shared" si="6"/>
        <v/>
      </c>
      <c r="B182" s="29"/>
      <c r="C182" s="25"/>
      <c r="D182" s="26"/>
      <c r="E182" s="27"/>
      <c r="F182" s="37" t="str">
        <f t="shared" si="7"/>
        <v/>
      </c>
      <c r="G182" s="38" t="str">
        <f t="shared" si="8"/>
        <v/>
      </c>
      <c r="H182" s="28"/>
    </row>
    <row r="183" spans="1:8" x14ac:dyDescent="0.45">
      <c r="A183" s="47" t="str">
        <f t="shared" si="6"/>
        <v/>
      </c>
      <c r="B183" s="48"/>
      <c r="C183" s="49"/>
      <c r="D183" s="50"/>
      <c r="E183" s="51"/>
      <c r="F183" s="52" t="str">
        <f t="shared" si="7"/>
        <v/>
      </c>
      <c r="G183" s="53" t="str">
        <f t="shared" si="8"/>
        <v/>
      </c>
      <c r="H183" s="54"/>
    </row>
    <row r="184" spans="1:8" x14ac:dyDescent="0.45">
      <c r="A184" s="24" t="str">
        <f t="shared" si="6"/>
        <v/>
      </c>
      <c r="B184" s="29"/>
      <c r="C184" s="25"/>
      <c r="D184" s="26"/>
      <c r="E184" s="27"/>
      <c r="F184" s="37" t="str">
        <f t="shared" si="7"/>
        <v/>
      </c>
      <c r="G184" s="38" t="str">
        <f t="shared" si="8"/>
        <v/>
      </c>
      <c r="H184" s="28"/>
    </row>
    <row r="185" spans="1:8" x14ac:dyDescent="0.45">
      <c r="A185" s="47" t="str">
        <f t="shared" si="6"/>
        <v/>
      </c>
      <c r="B185" s="48"/>
      <c r="C185" s="49"/>
      <c r="D185" s="50"/>
      <c r="E185" s="51"/>
      <c r="F185" s="52" t="str">
        <f t="shared" si="7"/>
        <v/>
      </c>
      <c r="G185" s="53" t="str">
        <f t="shared" si="8"/>
        <v/>
      </c>
      <c r="H185" s="54"/>
    </row>
    <row r="186" spans="1:8" x14ac:dyDescent="0.45">
      <c r="A186" s="24" t="str">
        <f t="shared" si="6"/>
        <v/>
      </c>
      <c r="B186" s="29"/>
      <c r="C186" s="25"/>
      <c r="D186" s="26"/>
      <c r="E186" s="27"/>
      <c r="F186" s="37" t="str">
        <f t="shared" si="7"/>
        <v/>
      </c>
      <c r="G186" s="38" t="str">
        <f t="shared" si="8"/>
        <v/>
      </c>
      <c r="H186" s="28"/>
    </row>
    <row r="187" spans="1:8" x14ac:dyDescent="0.45">
      <c r="A187" s="47" t="str">
        <f t="shared" si="6"/>
        <v/>
      </c>
      <c r="B187" s="48"/>
      <c r="C187" s="49"/>
      <c r="D187" s="50"/>
      <c r="E187" s="51"/>
      <c r="F187" s="52" t="str">
        <f t="shared" si="7"/>
        <v/>
      </c>
      <c r="G187" s="53" t="str">
        <f t="shared" si="8"/>
        <v/>
      </c>
      <c r="H187" s="54"/>
    </row>
    <row r="188" spans="1:8" x14ac:dyDescent="0.45">
      <c r="A188" s="24" t="str">
        <f t="shared" si="6"/>
        <v/>
      </c>
      <c r="B188" s="29"/>
      <c r="C188" s="25"/>
      <c r="D188" s="26"/>
      <c r="E188" s="27"/>
      <c r="F188" s="37" t="str">
        <f t="shared" si="7"/>
        <v/>
      </c>
      <c r="G188" s="38" t="str">
        <f t="shared" si="8"/>
        <v/>
      </c>
      <c r="H188" s="28"/>
    </row>
    <row r="189" spans="1:8" x14ac:dyDescent="0.45">
      <c r="A189" s="47" t="str">
        <f t="shared" si="6"/>
        <v/>
      </c>
      <c r="B189" s="48"/>
      <c r="C189" s="49"/>
      <c r="D189" s="50"/>
      <c r="E189" s="51"/>
      <c r="F189" s="52" t="str">
        <f t="shared" si="7"/>
        <v/>
      </c>
      <c r="G189" s="53" t="str">
        <f t="shared" si="8"/>
        <v/>
      </c>
      <c r="H189" s="54"/>
    </row>
    <row r="190" spans="1:8" x14ac:dyDescent="0.45">
      <c r="A190" s="24" t="str">
        <f t="shared" si="6"/>
        <v/>
      </c>
      <c r="B190" s="29"/>
      <c r="C190" s="25"/>
      <c r="D190" s="26"/>
      <c r="E190" s="27"/>
      <c r="F190" s="37" t="str">
        <f t="shared" si="7"/>
        <v/>
      </c>
      <c r="G190" s="38" t="str">
        <f t="shared" si="8"/>
        <v/>
      </c>
      <c r="H190" s="28"/>
    </row>
    <row r="191" spans="1:8" x14ac:dyDescent="0.45">
      <c r="A191" s="47" t="str">
        <f t="shared" si="6"/>
        <v/>
      </c>
      <c r="B191" s="48"/>
      <c r="C191" s="49"/>
      <c r="D191" s="50"/>
      <c r="E191" s="51"/>
      <c r="F191" s="52" t="str">
        <f t="shared" si="7"/>
        <v/>
      </c>
      <c r="G191" s="53" t="str">
        <f t="shared" si="8"/>
        <v/>
      </c>
      <c r="H191" s="54"/>
    </row>
    <row r="192" spans="1:8" x14ac:dyDescent="0.45">
      <c r="A192" s="24" t="str">
        <f t="shared" si="6"/>
        <v/>
      </c>
      <c r="B192" s="29"/>
      <c r="C192" s="25"/>
      <c r="D192" s="26"/>
      <c r="E192" s="27"/>
      <c r="F192" s="37" t="str">
        <f t="shared" si="7"/>
        <v/>
      </c>
      <c r="G192" s="38" t="str">
        <f t="shared" si="8"/>
        <v/>
      </c>
      <c r="H192" s="28"/>
    </row>
    <row r="193" spans="1:8" x14ac:dyDescent="0.45">
      <c r="A193" s="47" t="str">
        <f t="shared" si="6"/>
        <v/>
      </c>
      <c r="B193" s="48"/>
      <c r="C193" s="49"/>
      <c r="D193" s="50"/>
      <c r="E193" s="51"/>
      <c r="F193" s="52" t="str">
        <f t="shared" si="7"/>
        <v/>
      </c>
      <c r="G193" s="53" t="str">
        <f t="shared" si="8"/>
        <v/>
      </c>
      <c r="H193" s="54"/>
    </row>
    <row r="194" spans="1:8" x14ac:dyDescent="0.45">
      <c r="A194" s="24" t="str">
        <f t="shared" si="6"/>
        <v/>
      </c>
      <c r="B194" s="29"/>
      <c r="C194" s="25"/>
      <c r="D194" s="26"/>
      <c r="E194" s="27"/>
      <c r="F194" s="37" t="str">
        <f t="shared" si="7"/>
        <v/>
      </c>
      <c r="G194" s="38" t="str">
        <f t="shared" si="8"/>
        <v/>
      </c>
      <c r="H194" s="28"/>
    </row>
    <row r="195" spans="1:8" x14ac:dyDescent="0.45">
      <c r="A195" s="47" t="str">
        <f t="shared" si="6"/>
        <v/>
      </c>
      <c r="B195" s="48"/>
      <c r="C195" s="49"/>
      <c r="D195" s="50"/>
      <c r="E195" s="51"/>
      <c r="F195" s="52" t="str">
        <f t="shared" si="7"/>
        <v/>
      </c>
      <c r="G195" s="53" t="str">
        <f t="shared" si="8"/>
        <v/>
      </c>
      <c r="H195" s="54"/>
    </row>
    <row r="196" spans="1:8" x14ac:dyDescent="0.45">
      <c r="A196" s="24" t="str">
        <f t="shared" si="6"/>
        <v/>
      </c>
      <c r="B196" s="29"/>
      <c r="C196" s="25"/>
      <c r="D196" s="26"/>
      <c r="E196" s="27"/>
      <c r="F196" s="37" t="str">
        <f t="shared" si="7"/>
        <v/>
      </c>
      <c r="G196" s="38" t="str">
        <f t="shared" si="8"/>
        <v/>
      </c>
      <c r="H196" s="28"/>
    </row>
    <row r="197" spans="1:8" x14ac:dyDescent="0.45">
      <c r="A197" s="47" t="str">
        <f t="shared" si="6"/>
        <v/>
      </c>
      <c r="B197" s="48"/>
      <c r="C197" s="49"/>
      <c r="D197" s="50"/>
      <c r="E197" s="51"/>
      <c r="F197" s="52" t="str">
        <f t="shared" si="7"/>
        <v/>
      </c>
      <c r="G197" s="53" t="str">
        <f t="shared" si="8"/>
        <v/>
      </c>
      <c r="H197" s="54"/>
    </row>
    <row r="198" spans="1:8" x14ac:dyDescent="0.45">
      <c r="A198" s="24" t="str">
        <f t="shared" si="6"/>
        <v/>
      </c>
      <c r="B198" s="29"/>
      <c r="C198" s="25"/>
      <c r="D198" s="26"/>
      <c r="E198" s="27"/>
      <c r="F198" s="37" t="str">
        <f t="shared" si="7"/>
        <v/>
      </c>
      <c r="G198" s="38" t="str">
        <f t="shared" si="8"/>
        <v/>
      </c>
      <c r="H198" s="28"/>
    </row>
    <row r="199" spans="1:8" x14ac:dyDescent="0.45">
      <c r="A199" s="47" t="str">
        <f t="shared" si="6"/>
        <v/>
      </c>
      <c r="B199" s="48"/>
      <c r="C199" s="49"/>
      <c r="D199" s="50"/>
      <c r="E199" s="51"/>
      <c r="F199" s="52" t="str">
        <f t="shared" si="7"/>
        <v/>
      </c>
      <c r="G199" s="53" t="str">
        <f t="shared" si="8"/>
        <v/>
      </c>
      <c r="H199" s="54"/>
    </row>
    <row r="200" spans="1:8" x14ac:dyDescent="0.45">
      <c r="A200" s="24" t="str">
        <f t="shared" si="6"/>
        <v/>
      </c>
      <c r="B200" s="29"/>
      <c r="C200" s="25"/>
      <c r="D200" s="26"/>
      <c r="E200" s="27"/>
      <c r="F200" s="37" t="str">
        <f t="shared" si="7"/>
        <v/>
      </c>
      <c r="G200" s="38" t="str">
        <f t="shared" si="8"/>
        <v/>
      </c>
      <c r="H200" s="28"/>
    </row>
    <row r="201" spans="1:8" x14ac:dyDescent="0.45">
      <c r="A201" s="47" t="str">
        <f t="shared" si="6"/>
        <v/>
      </c>
      <c r="B201" s="48"/>
      <c r="C201" s="49"/>
      <c r="D201" s="50"/>
      <c r="E201" s="51"/>
      <c r="F201" s="52" t="str">
        <f t="shared" si="7"/>
        <v/>
      </c>
      <c r="G201" s="53" t="str">
        <f t="shared" si="8"/>
        <v/>
      </c>
      <c r="H201" s="54"/>
    </row>
    <row r="202" spans="1:8" x14ac:dyDescent="0.45">
      <c r="A202" s="24" t="str">
        <f t="shared" si="6"/>
        <v/>
      </c>
      <c r="B202" s="29"/>
      <c r="C202" s="25"/>
      <c r="D202" s="26"/>
      <c r="E202" s="27"/>
      <c r="F202" s="37" t="str">
        <f t="shared" si="7"/>
        <v/>
      </c>
      <c r="G202" s="38" t="str">
        <f t="shared" si="8"/>
        <v/>
      </c>
      <c r="H202" s="28"/>
    </row>
    <row r="203" spans="1:8" x14ac:dyDescent="0.45">
      <c r="A203" s="47" t="str">
        <f t="shared" ref="A203:A259" si="9">IF(B203="","",ROW()-9)</f>
        <v/>
      </c>
      <c r="B203" s="48"/>
      <c r="C203" s="49"/>
      <c r="D203" s="50"/>
      <c r="E203" s="51"/>
      <c r="F203" s="52" t="str">
        <f t="shared" ref="F203:F259" si="10">IF(B203="","",D203*65000)</f>
        <v/>
      </c>
      <c r="G203" s="53" t="str">
        <f t="shared" ref="G203:G259" si="11">IF(B203="","",E203-F203)</f>
        <v/>
      </c>
      <c r="H203" s="54"/>
    </row>
    <row r="204" spans="1:8" x14ac:dyDescent="0.45">
      <c r="A204" s="24" t="str">
        <f t="shared" si="9"/>
        <v/>
      </c>
      <c r="B204" s="29"/>
      <c r="C204" s="25"/>
      <c r="D204" s="26"/>
      <c r="E204" s="27"/>
      <c r="F204" s="37" t="str">
        <f t="shared" si="10"/>
        <v/>
      </c>
      <c r="G204" s="38" t="str">
        <f t="shared" si="11"/>
        <v/>
      </c>
      <c r="H204" s="28"/>
    </row>
    <row r="205" spans="1:8" x14ac:dyDescent="0.45">
      <c r="A205" s="47" t="str">
        <f t="shared" si="9"/>
        <v/>
      </c>
      <c r="B205" s="48"/>
      <c r="C205" s="49"/>
      <c r="D205" s="50"/>
      <c r="E205" s="51"/>
      <c r="F205" s="52" t="str">
        <f t="shared" si="10"/>
        <v/>
      </c>
      <c r="G205" s="53" t="str">
        <f t="shared" si="11"/>
        <v/>
      </c>
      <c r="H205" s="54"/>
    </row>
    <row r="206" spans="1:8" x14ac:dyDescent="0.45">
      <c r="A206" s="24" t="str">
        <f t="shared" si="9"/>
        <v/>
      </c>
      <c r="B206" s="29"/>
      <c r="C206" s="25"/>
      <c r="D206" s="26"/>
      <c r="E206" s="27"/>
      <c r="F206" s="37" t="str">
        <f t="shared" si="10"/>
        <v/>
      </c>
      <c r="G206" s="38" t="str">
        <f t="shared" si="11"/>
        <v/>
      </c>
      <c r="H206" s="28"/>
    </row>
    <row r="207" spans="1:8" x14ac:dyDescent="0.45">
      <c r="A207" s="47" t="str">
        <f t="shared" si="9"/>
        <v/>
      </c>
      <c r="B207" s="48"/>
      <c r="C207" s="49"/>
      <c r="D207" s="50"/>
      <c r="E207" s="51"/>
      <c r="F207" s="52" t="str">
        <f t="shared" si="10"/>
        <v/>
      </c>
      <c r="G207" s="53" t="str">
        <f t="shared" si="11"/>
        <v/>
      </c>
      <c r="H207" s="54"/>
    </row>
    <row r="208" spans="1:8" x14ac:dyDescent="0.45">
      <c r="A208" s="24" t="str">
        <f t="shared" si="9"/>
        <v/>
      </c>
      <c r="B208" s="29"/>
      <c r="C208" s="25"/>
      <c r="D208" s="26"/>
      <c r="E208" s="27"/>
      <c r="F208" s="37" t="str">
        <f t="shared" si="10"/>
        <v/>
      </c>
      <c r="G208" s="38" t="str">
        <f t="shared" si="11"/>
        <v/>
      </c>
      <c r="H208" s="28"/>
    </row>
    <row r="209" spans="1:8" x14ac:dyDescent="0.45">
      <c r="A209" s="47" t="str">
        <f t="shared" si="9"/>
        <v/>
      </c>
      <c r="B209" s="48"/>
      <c r="C209" s="49"/>
      <c r="D209" s="50"/>
      <c r="E209" s="51"/>
      <c r="F209" s="52" t="str">
        <f t="shared" si="10"/>
        <v/>
      </c>
      <c r="G209" s="53" t="str">
        <f t="shared" si="11"/>
        <v/>
      </c>
      <c r="H209" s="54"/>
    </row>
    <row r="210" spans="1:8" x14ac:dyDescent="0.45">
      <c r="A210" s="24" t="str">
        <f t="shared" si="9"/>
        <v/>
      </c>
      <c r="B210" s="29"/>
      <c r="C210" s="25"/>
      <c r="D210" s="26"/>
      <c r="E210" s="27"/>
      <c r="F210" s="37" t="str">
        <f t="shared" si="10"/>
        <v/>
      </c>
      <c r="G210" s="38" t="str">
        <f t="shared" si="11"/>
        <v/>
      </c>
      <c r="H210" s="28"/>
    </row>
    <row r="211" spans="1:8" x14ac:dyDescent="0.45">
      <c r="A211" s="47" t="str">
        <f t="shared" si="9"/>
        <v/>
      </c>
      <c r="B211" s="48"/>
      <c r="C211" s="49"/>
      <c r="D211" s="50"/>
      <c r="E211" s="51"/>
      <c r="F211" s="52" t="str">
        <f t="shared" si="10"/>
        <v/>
      </c>
      <c r="G211" s="53" t="str">
        <f t="shared" si="11"/>
        <v/>
      </c>
      <c r="H211" s="54"/>
    </row>
    <row r="212" spans="1:8" x14ac:dyDescent="0.45">
      <c r="A212" s="24" t="str">
        <f t="shared" si="9"/>
        <v/>
      </c>
      <c r="B212" s="29"/>
      <c r="C212" s="25"/>
      <c r="D212" s="26"/>
      <c r="E212" s="27"/>
      <c r="F212" s="37" t="str">
        <f t="shared" si="10"/>
        <v/>
      </c>
      <c r="G212" s="38" t="str">
        <f t="shared" si="11"/>
        <v/>
      </c>
      <c r="H212" s="28"/>
    </row>
    <row r="213" spans="1:8" x14ac:dyDescent="0.45">
      <c r="A213" s="47" t="str">
        <f t="shared" si="9"/>
        <v/>
      </c>
      <c r="B213" s="48"/>
      <c r="C213" s="49"/>
      <c r="D213" s="50"/>
      <c r="E213" s="51"/>
      <c r="F213" s="52" t="str">
        <f t="shared" si="10"/>
        <v/>
      </c>
      <c r="G213" s="53" t="str">
        <f t="shared" si="11"/>
        <v/>
      </c>
      <c r="H213" s="54"/>
    </row>
    <row r="214" spans="1:8" x14ac:dyDescent="0.45">
      <c r="A214" s="24" t="str">
        <f t="shared" si="9"/>
        <v/>
      </c>
      <c r="B214" s="29"/>
      <c r="C214" s="25"/>
      <c r="D214" s="26"/>
      <c r="E214" s="27"/>
      <c r="F214" s="37" t="str">
        <f t="shared" si="10"/>
        <v/>
      </c>
      <c r="G214" s="38" t="str">
        <f t="shared" si="11"/>
        <v/>
      </c>
      <c r="H214" s="28"/>
    </row>
    <row r="215" spans="1:8" x14ac:dyDescent="0.45">
      <c r="A215" s="47" t="str">
        <f t="shared" si="9"/>
        <v/>
      </c>
      <c r="B215" s="48"/>
      <c r="C215" s="49"/>
      <c r="D215" s="50"/>
      <c r="E215" s="51"/>
      <c r="F215" s="52" t="str">
        <f t="shared" si="10"/>
        <v/>
      </c>
      <c r="G215" s="53" t="str">
        <f t="shared" si="11"/>
        <v/>
      </c>
      <c r="H215" s="54"/>
    </row>
    <row r="216" spans="1:8" x14ac:dyDescent="0.45">
      <c r="A216" s="24" t="str">
        <f t="shared" si="9"/>
        <v/>
      </c>
      <c r="B216" s="29"/>
      <c r="C216" s="25"/>
      <c r="D216" s="26"/>
      <c r="E216" s="27"/>
      <c r="F216" s="37" t="str">
        <f t="shared" si="10"/>
        <v/>
      </c>
      <c r="G216" s="38" t="str">
        <f t="shared" si="11"/>
        <v/>
      </c>
      <c r="H216" s="28"/>
    </row>
    <row r="217" spans="1:8" x14ac:dyDescent="0.45">
      <c r="A217" s="47" t="str">
        <f t="shared" si="9"/>
        <v/>
      </c>
      <c r="B217" s="48"/>
      <c r="C217" s="49"/>
      <c r="D217" s="50"/>
      <c r="E217" s="51"/>
      <c r="F217" s="52" t="str">
        <f t="shared" si="10"/>
        <v/>
      </c>
      <c r="G217" s="53" t="str">
        <f t="shared" si="11"/>
        <v/>
      </c>
      <c r="H217" s="54"/>
    </row>
    <row r="218" spans="1:8" x14ac:dyDescent="0.45">
      <c r="A218" s="24" t="str">
        <f t="shared" si="9"/>
        <v/>
      </c>
      <c r="B218" s="29"/>
      <c r="C218" s="25"/>
      <c r="D218" s="26"/>
      <c r="E218" s="27"/>
      <c r="F218" s="37" t="str">
        <f t="shared" si="10"/>
        <v/>
      </c>
      <c r="G218" s="38" t="str">
        <f t="shared" si="11"/>
        <v/>
      </c>
      <c r="H218" s="28"/>
    </row>
    <row r="219" spans="1:8" x14ac:dyDescent="0.45">
      <c r="A219" s="47" t="str">
        <f t="shared" si="9"/>
        <v/>
      </c>
      <c r="B219" s="48"/>
      <c r="C219" s="49"/>
      <c r="D219" s="50"/>
      <c r="E219" s="51"/>
      <c r="F219" s="52" t="str">
        <f t="shared" si="10"/>
        <v/>
      </c>
      <c r="G219" s="53" t="str">
        <f t="shared" si="11"/>
        <v/>
      </c>
      <c r="H219" s="54"/>
    </row>
    <row r="220" spans="1:8" x14ac:dyDescent="0.45">
      <c r="A220" s="24" t="str">
        <f t="shared" si="9"/>
        <v/>
      </c>
      <c r="B220" s="29"/>
      <c r="C220" s="25"/>
      <c r="D220" s="26"/>
      <c r="E220" s="27"/>
      <c r="F220" s="37" t="str">
        <f t="shared" si="10"/>
        <v/>
      </c>
      <c r="G220" s="38" t="str">
        <f t="shared" si="11"/>
        <v/>
      </c>
      <c r="H220" s="28"/>
    </row>
    <row r="221" spans="1:8" x14ac:dyDescent="0.45">
      <c r="A221" s="47" t="str">
        <f t="shared" si="9"/>
        <v/>
      </c>
      <c r="B221" s="48"/>
      <c r="C221" s="49"/>
      <c r="D221" s="50"/>
      <c r="E221" s="51"/>
      <c r="F221" s="52" t="str">
        <f t="shared" si="10"/>
        <v/>
      </c>
      <c r="G221" s="53" t="str">
        <f t="shared" si="11"/>
        <v/>
      </c>
      <c r="H221" s="54"/>
    </row>
    <row r="222" spans="1:8" x14ac:dyDescent="0.45">
      <c r="A222" s="24" t="str">
        <f t="shared" si="9"/>
        <v/>
      </c>
      <c r="B222" s="29"/>
      <c r="C222" s="25"/>
      <c r="D222" s="26"/>
      <c r="E222" s="27"/>
      <c r="F222" s="37" t="str">
        <f t="shared" si="10"/>
        <v/>
      </c>
      <c r="G222" s="38" t="str">
        <f t="shared" si="11"/>
        <v/>
      </c>
      <c r="H222" s="28"/>
    </row>
    <row r="223" spans="1:8" x14ac:dyDescent="0.45">
      <c r="A223" s="47" t="str">
        <f t="shared" si="9"/>
        <v/>
      </c>
      <c r="B223" s="48"/>
      <c r="C223" s="49"/>
      <c r="D223" s="50"/>
      <c r="E223" s="51"/>
      <c r="F223" s="52" t="str">
        <f t="shared" si="10"/>
        <v/>
      </c>
      <c r="G223" s="53" t="str">
        <f t="shared" si="11"/>
        <v/>
      </c>
      <c r="H223" s="54"/>
    </row>
    <row r="224" spans="1:8" x14ac:dyDescent="0.45">
      <c r="A224" s="24" t="str">
        <f t="shared" si="9"/>
        <v/>
      </c>
      <c r="B224" s="29"/>
      <c r="C224" s="25"/>
      <c r="D224" s="26"/>
      <c r="E224" s="27"/>
      <c r="F224" s="37" t="str">
        <f t="shared" si="10"/>
        <v/>
      </c>
      <c r="G224" s="38" t="str">
        <f t="shared" si="11"/>
        <v/>
      </c>
      <c r="H224" s="28"/>
    </row>
    <row r="225" spans="1:8" x14ac:dyDescent="0.45">
      <c r="A225" s="47" t="str">
        <f t="shared" si="9"/>
        <v/>
      </c>
      <c r="B225" s="48"/>
      <c r="C225" s="49"/>
      <c r="D225" s="50"/>
      <c r="E225" s="51"/>
      <c r="F225" s="52" t="str">
        <f t="shared" si="10"/>
        <v/>
      </c>
      <c r="G225" s="53" t="str">
        <f t="shared" si="11"/>
        <v/>
      </c>
      <c r="H225" s="54"/>
    </row>
    <row r="226" spans="1:8" x14ac:dyDescent="0.45">
      <c r="A226" s="24" t="str">
        <f t="shared" si="9"/>
        <v/>
      </c>
      <c r="B226" s="29"/>
      <c r="C226" s="25"/>
      <c r="D226" s="26"/>
      <c r="E226" s="27"/>
      <c r="F226" s="37" t="str">
        <f t="shared" si="10"/>
        <v/>
      </c>
      <c r="G226" s="38" t="str">
        <f t="shared" si="11"/>
        <v/>
      </c>
      <c r="H226" s="28"/>
    </row>
    <row r="227" spans="1:8" x14ac:dyDescent="0.45">
      <c r="A227" s="47" t="str">
        <f t="shared" si="9"/>
        <v/>
      </c>
      <c r="B227" s="48"/>
      <c r="C227" s="49"/>
      <c r="D227" s="50"/>
      <c r="E227" s="51"/>
      <c r="F227" s="52" t="str">
        <f t="shared" si="10"/>
        <v/>
      </c>
      <c r="G227" s="53" t="str">
        <f t="shared" si="11"/>
        <v/>
      </c>
      <c r="H227" s="54"/>
    </row>
    <row r="228" spans="1:8" x14ac:dyDescent="0.45">
      <c r="A228" s="24" t="str">
        <f t="shared" si="9"/>
        <v/>
      </c>
      <c r="B228" s="29"/>
      <c r="C228" s="25"/>
      <c r="D228" s="26"/>
      <c r="E228" s="27"/>
      <c r="F228" s="37" t="str">
        <f t="shared" si="10"/>
        <v/>
      </c>
      <c r="G228" s="38" t="str">
        <f t="shared" si="11"/>
        <v/>
      </c>
      <c r="H228" s="28"/>
    </row>
    <row r="229" spans="1:8" x14ac:dyDescent="0.45">
      <c r="A229" s="47" t="str">
        <f t="shared" si="9"/>
        <v/>
      </c>
      <c r="B229" s="48"/>
      <c r="C229" s="49"/>
      <c r="D229" s="50"/>
      <c r="E229" s="51"/>
      <c r="F229" s="52" t="str">
        <f t="shared" si="10"/>
        <v/>
      </c>
      <c r="G229" s="53" t="str">
        <f t="shared" si="11"/>
        <v/>
      </c>
      <c r="H229" s="54"/>
    </row>
    <row r="230" spans="1:8" x14ac:dyDescent="0.45">
      <c r="A230" s="24" t="str">
        <f t="shared" si="9"/>
        <v/>
      </c>
      <c r="B230" s="29"/>
      <c r="C230" s="25"/>
      <c r="D230" s="26"/>
      <c r="E230" s="27"/>
      <c r="F230" s="37" t="str">
        <f t="shared" si="10"/>
        <v/>
      </c>
      <c r="G230" s="38" t="str">
        <f t="shared" si="11"/>
        <v/>
      </c>
      <c r="H230" s="28"/>
    </row>
    <row r="231" spans="1:8" x14ac:dyDescent="0.45">
      <c r="A231" s="47" t="str">
        <f t="shared" si="9"/>
        <v/>
      </c>
      <c r="B231" s="48"/>
      <c r="C231" s="49"/>
      <c r="D231" s="50"/>
      <c r="E231" s="51"/>
      <c r="F231" s="52" t="str">
        <f t="shared" si="10"/>
        <v/>
      </c>
      <c r="G231" s="53" t="str">
        <f t="shared" si="11"/>
        <v/>
      </c>
      <c r="H231" s="54"/>
    </row>
    <row r="232" spans="1:8" x14ac:dyDescent="0.45">
      <c r="A232" s="24" t="str">
        <f t="shared" si="9"/>
        <v/>
      </c>
      <c r="B232" s="29"/>
      <c r="C232" s="25"/>
      <c r="D232" s="26"/>
      <c r="E232" s="27"/>
      <c r="F232" s="37" t="str">
        <f t="shared" si="10"/>
        <v/>
      </c>
      <c r="G232" s="38" t="str">
        <f t="shared" si="11"/>
        <v/>
      </c>
      <c r="H232" s="28"/>
    </row>
    <row r="233" spans="1:8" x14ac:dyDescent="0.45">
      <c r="A233" s="47" t="str">
        <f t="shared" si="9"/>
        <v/>
      </c>
      <c r="B233" s="48"/>
      <c r="C233" s="49"/>
      <c r="D233" s="50"/>
      <c r="E233" s="51"/>
      <c r="F233" s="52" t="str">
        <f t="shared" si="10"/>
        <v/>
      </c>
      <c r="G233" s="53" t="str">
        <f t="shared" si="11"/>
        <v/>
      </c>
      <c r="H233" s="54"/>
    </row>
    <row r="234" spans="1:8" x14ac:dyDescent="0.45">
      <c r="A234" s="24" t="str">
        <f t="shared" si="9"/>
        <v/>
      </c>
      <c r="B234" s="29"/>
      <c r="C234" s="25"/>
      <c r="D234" s="26"/>
      <c r="E234" s="27"/>
      <c r="F234" s="37" t="str">
        <f t="shared" si="10"/>
        <v/>
      </c>
      <c r="G234" s="38" t="str">
        <f t="shared" si="11"/>
        <v/>
      </c>
      <c r="H234" s="28"/>
    </row>
    <row r="235" spans="1:8" x14ac:dyDescent="0.45">
      <c r="A235" s="47" t="str">
        <f t="shared" si="9"/>
        <v/>
      </c>
      <c r="B235" s="48"/>
      <c r="C235" s="49"/>
      <c r="D235" s="50"/>
      <c r="E235" s="51"/>
      <c r="F235" s="52" t="str">
        <f t="shared" si="10"/>
        <v/>
      </c>
      <c r="G235" s="53" t="str">
        <f t="shared" si="11"/>
        <v/>
      </c>
      <c r="H235" s="54"/>
    </row>
    <row r="236" spans="1:8" x14ac:dyDescent="0.45">
      <c r="A236" s="24" t="str">
        <f t="shared" si="9"/>
        <v/>
      </c>
      <c r="B236" s="29"/>
      <c r="C236" s="25"/>
      <c r="D236" s="26"/>
      <c r="E236" s="27"/>
      <c r="F236" s="37" t="str">
        <f t="shared" si="10"/>
        <v/>
      </c>
      <c r="G236" s="38" t="str">
        <f t="shared" si="11"/>
        <v/>
      </c>
      <c r="H236" s="28"/>
    </row>
    <row r="237" spans="1:8" x14ac:dyDescent="0.45">
      <c r="A237" s="47" t="str">
        <f t="shared" si="9"/>
        <v/>
      </c>
      <c r="B237" s="48"/>
      <c r="C237" s="49"/>
      <c r="D237" s="50"/>
      <c r="E237" s="51"/>
      <c r="F237" s="52" t="str">
        <f t="shared" si="10"/>
        <v/>
      </c>
      <c r="G237" s="53" t="str">
        <f t="shared" si="11"/>
        <v/>
      </c>
      <c r="H237" s="54"/>
    </row>
    <row r="238" spans="1:8" x14ac:dyDescent="0.45">
      <c r="A238" s="24" t="str">
        <f t="shared" si="9"/>
        <v/>
      </c>
      <c r="B238" s="29"/>
      <c r="C238" s="25"/>
      <c r="D238" s="26"/>
      <c r="E238" s="27"/>
      <c r="F238" s="37" t="str">
        <f t="shared" si="10"/>
        <v/>
      </c>
      <c r="G238" s="38" t="str">
        <f t="shared" si="11"/>
        <v/>
      </c>
      <c r="H238" s="28"/>
    </row>
    <row r="239" spans="1:8" x14ac:dyDescent="0.45">
      <c r="A239" s="47" t="str">
        <f t="shared" si="9"/>
        <v/>
      </c>
      <c r="B239" s="48"/>
      <c r="C239" s="49"/>
      <c r="D239" s="50"/>
      <c r="E239" s="51"/>
      <c r="F239" s="52" t="str">
        <f t="shared" si="10"/>
        <v/>
      </c>
      <c r="G239" s="53" t="str">
        <f t="shared" si="11"/>
        <v/>
      </c>
      <c r="H239" s="54"/>
    </row>
    <row r="240" spans="1:8" x14ac:dyDescent="0.45">
      <c r="A240" s="24" t="str">
        <f t="shared" si="9"/>
        <v/>
      </c>
      <c r="B240" s="29"/>
      <c r="C240" s="25"/>
      <c r="D240" s="26"/>
      <c r="E240" s="27"/>
      <c r="F240" s="37" t="str">
        <f t="shared" si="10"/>
        <v/>
      </c>
      <c r="G240" s="38" t="str">
        <f t="shared" si="11"/>
        <v/>
      </c>
      <c r="H240" s="28"/>
    </row>
    <row r="241" spans="1:8" x14ac:dyDescent="0.45">
      <c r="A241" s="47" t="str">
        <f t="shared" si="9"/>
        <v/>
      </c>
      <c r="B241" s="48"/>
      <c r="C241" s="49"/>
      <c r="D241" s="50"/>
      <c r="E241" s="51"/>
      <c r="F241" s="52" t="str">
        <f t="shared" si="10"/>
        <v/>
      </c>
      <c r="G241" s="53" t="str">
        <f t="shared" si="11"/>
        <v/>
      </c>
      <c r="H241" s="54"/>
    </row>
    <row r="242" spans="1:8" x14ac:dyDescent="0.45">
      <c r="A242" s="24" t="str">
        <f t="shared" si="9"/>
        <v/>
      </c>
      <c r="B242" s="29"/>
      <c r="C242" s="25"/>
      <c r="D242" s="26"/>
      <c r="E242" s="27"/>
      <c r="F242" s="37" t="str">
        <f t="shared" si="10"/>
        <v/>
      </c>
      <c r="G242" s="38" t="str">
        <f t="shared" si="11"/>
        <v/>
      </c>
      <c r="H242" s="28"/>
    </row>
    <row r="243" spans="1:8" x14ac:dyDescent="0.45">
      <c r="A243" s="47" t="str">
        <f t="shared" si="9"/>
        <v/>
      </c>
      <c r="B243" s="48"/>
      <c r="C243" s="49"/>
      <c r="D243" s="50"/>
      <c r="E243" s="51"/>
      <c r="F243" s="52" t="str">
        <f t="shared" si="10"/>
        <v/>
      </c>
      <c r="G243" s="53" t="str">
        <f t="shared" si="11"/>
        <v/>
      </c>
      <c r="H243" s="54"/>
    </row>
    <row r="244" spans="1:8" x14ac:dyDescent="0.45">
      <c r="A244" s="24" t="str">
        <f t="shared" si="9"/>
        <v/>
      </c>
      <c r="B244" s="29"/>
      <c r="C244" s="25"/>
      <c r="D244" s="26"/>
      <c r="E244" s="27"/>
      <c r="F244" s="37" t="str">
        <f t="shared" si="10"/>
        <v/>
      </c>
      <c r="G244" s="38" t="str">
        <f t="shared" si="11"/>
        <v/>
      </c>
      <c r="H244" s="28"/>
    </row>
    <row r="245" spans="1:8" x14ac:dyDescent="0.45">
      <c r="A245" s="47" t="str">
        <f t="shared" si="9"/>
        <v/>
      </c>
      <c r="B245" s="48"/>
      <c r="C245" s="49"/>
      <c r="D245" s="50"/>
      <c r="E245" s="51"/>
      <c r="F245" s="52" t="str">
        <f t="shared" si="10"/>
        <v/>
      </c>
      <c r="G245" s="53" t="str">
        <f t="shared" si="11"/>
        <v/>
      </c>
      <c r="H245" s="54"/>
    </row>
    <row r="246" spans="1:8" x14ac:dyDescent="0.45">
      <c r="A246" s="24" t="str">
        <f t="shared" si="9"/>
        <v/>
      </c>
      <c r="B246" s="29"/>
      <c r="C246" s="25"/>
      <c r="D246" s="26"/>
      <c r="E246" s="27"/>
      <c r="F246" s="37" t="str">
        <f t="shared" si="10"/>
        <v/>
      </c>
      <c r="G246" s="38" t="str">
        <f t="shared" si="11"/>
        <v/>
      </c>
      <c r="H246" s="28"/>
    </row>
    <row r="247" spans="1:8" x14ac:dyDescent="0.45">
      <c r="A247" s="47" t="str">
        <f t="shared" si="9"/>
        <v/>
      </c>
      <c r="B247" s="48"/>
      <c r="C247" s="49"/>
      <c r="D247" s="50"/>
      <c r="E247" s="51"/>
      <c r="F247" s="52" t="str">
        <f t="shared" si="10"/>
        <v/>
      </c>
      <c r="G247" s="53" t="str">
        <f t="shared" si="11"/>
        <v/>
      </c>
      <c r="H247" s="54"/>
    </row>
    <row r="248" spans="1:8" x14ac:dyDescent="0.45">
      <c r="A248" s="24" t="str">
        <f t="shared" si="9"/>
        <v/>
      </c>
      <c r="B248" s="29"/>
      <c r="C248" s="25"/>
      <c r="D248" s="26"/>
      <c r="E248" s="27"/>
      <c r="F248" s="37" t="str">
        <f t="shared" si="10"/>
        <v/>
      </c>
      <c r="G248" s="38" t="str">
        <f t="shared" si="11"/>
        <v/>
      </c>
      <c r="H248" s="28"/>
    </row>
    <row r="249" spans="1:8" x14ac:dyDescent="0.45">
      <c r="A249" s="47" t="str">
        <f t="shared" si="9"/>
        <v/>
      </c>
      <c r="B249" s="48"/>
      <c r="C249" s="49"/>
      <c r="D249" s="50"/>
      <c r="E249" s="51"/>
      <c r="F249" s="52" t="str">
        <f t="shared" si="10"/>
        <v/>
      </c>
      <c r="G249" s="53" t="str">
        <f t="shared" si="11"/>
        <v/>
      </c>
      <c r="H249" s="54"/>
    </row>
    <row r="250" spans="1:8" x14ac:dyDescent="0.45">
      <c r="A250" s="24" t="str">
        <f t="shared" si="9"/>
        <v/>
      </c>
      <c r="B250" s="29"/>
      <c r="C250" s="25"/>
      <c r="D250" s="26"/>
      <c r="E250" s="27"/>
      <c r="F250" s="37" t="str">
        <f t="shared" si="10"/>
        <v/>
      </c>
      <c r="G250" s="38" t="str">
        <f t="shared" si="11"/>
        <v/>
      </c>
      <c r="H250" s="28"/>
    </row>
    <row r="251" spans="1:8" x14ac:dyDescent="0.45">
      <c r="A251" s="47" t="str">
        <f t="shared" si="9"/>
        <v/>
      </c>
      <c r="B251" s="48"/>
      <c r="C251" s="49"/>
      <c r="D251" s="50"/>
      <c r="E251" s="51"/>
      <c r="F251" s="52" t="str">
        <f t="shared" si="10"/>
        <v/>
      </c>
      <c r="G251" s="53" t="str">
        <f t="shared" si="11"/>
        <v/>
      </c>
      <c r="H251" s="54"/>
    </row>
    <row r="252" spans="1:8" x14ac:dyDescent="0.45">
      <c r="A252" s="24" t="str">
        <f t="shared" si="9"/>
        <v/>
      </c>
      <c r="B252" s="29"/>
      <c r="C252" s="25"/>
      <c r="D252" s="26"/>
      <c r="E252" s="27"/>
      <c r="F252" s="37" t="str">
        <f t="shared" si="10"/>
        <v/>
      </c>
      <c r="G252" s="38" t="str">
        <f t="shared" si="11"/>
        <v/>
      </c>
      <c r="H252" s="28"/>
    </row>
    <row r="253" spans="1:8" x14ac:dyDescent="0.45">
      <c r="A253" s="47" t="str">
        <f t="shared" si="9"/>
        <v/>
      </c>
      <c r="B253" s="48"/>
      <c r="C253" s="49"/>
      <c r="D253" s="50"/>
      <c r="E253" s="51"/>
      <c r="F253" s="52" t="str">
        <f t="shared" si="10"/>
        <v/>
      </c>
      <c r="G253" s="53" t="str">
        <f t="shared" si="11"/>
        <v/>
      </c>
      <c r="H253" s="54"/>
    </row>
    <row r="254" spans="1:8" x14ac:dyDescent="0.45">
      <c r="A254" s="24" t="str">
        <f t="shared" si="9"/>
        <v/>
      </c>
      <c r="B254" s="29"/>
      <c r="C254" s="25"/>
      <c r="D254" s="26"/>
      <c r="E254" s="27"/>
      <c r="F254" s="37" t="str">
        <f t="shared" si="10"/>
        <v/>
      </c>
      <c r="G254" s="38" t="str">
        <f t="shared" si="11"/>
        <v/>
      </c>
      <c r="H254" s="28"/>
    </row>
    <row r="255" spans="1:8" x14ac:dyDescent="0.45">
      <c r="A255" s="47" t="str">
        <f t="shared" si="9"/>
        <v/>
      </c>
      <c r="B255" s="48"/>
      <c r="C255" s="49"/>
      <c r="D255" s="50"/>
      <c r="E255" s="51"/>
      <c r="F255" s="52" t="str">
        <f t="shared" si="10"/>
        <v/>
      </c>
      <c r="G255" s="53" t="str">
        <f t="shared" si="11"/>
        <v/>
      </c>
      <c r="H255" s="54"/>
    </row>
    <row r="256" spans="1:8" x14ac:dyDescent="0.45">
      <c r="A256" s="24" t="str">
        <f t="shared" si="9"/>
        <v/>
      </c>
      <c r="B256" s="29"/>
      <c r="C256" s="25"/>
      <c r="D256" s="26"/>
      <c r="E256" s="27"/>
      <c r="F256" s="37" t="str">
        <f t="shared" si="10"/>
        <v/>
      </c>
      <c r="G256" s="38" t="str">
        <f t="shared" si="11"/>
        <v/>
      </c>
      <c r="H256" s="28"/>
    </row>
    <row r="257" spans="1:8" x14ac:dyDescent="0.45">
      <c r="A257" s="47" t="str">
        <f t="shared" si="9"/>
        <v/>
      </c>
      <c r="B257" s="48"/>
      <c r="C257" s="49"/>
      <c r="D257" s="50"/>
      <c r="E257" s="51"/>
      <c r="F257" s="52" t="str">
        <f t="shared" si="10"/>
        <v/>
      </c>
      <c r="G257" s="53" t="str">
        <f t="shared" si="11"/>
        <v/>
      </c>
      <c r="H257" s="54"/>
    </row>
    <row r="258" spans="1:8" x14ac:dyDescent="0.45">
      <c r="A258" s="24" t="str">
        <f t="shared" si="9"/>
        <v/>
      </c>
      <c r="B258" s="29"/>
      <c r="C258" s="25"/>
      <c r="D258" s="26"/>
      <c r="E258" s="27"/>
      <c r="F258" s="37" t="str">
        <f t="shared" si="10"/>
        <v/>
      </c>
      <c r="G258" s="38" t="str">
        <f t="shared" si="11"/>
        <v/>
      </c>
      <c r="H258" s="28"/>
    </row>
    <row r="259" spans="1:8" ht="17.5" thickBot="1" x14ac:dyDescent="0.5">
      <c r="A259" s="55" t="str">
        <f t="shared" si="9"/>
        <v/>
      </c>
      <c r="B259" s="56"/>
      <c r="C259" s="57"/>
      <c r="D259" s="58"/>
      <c r="E259" s="59"/>
      <c r="F259" s="60" t="str">
        <f t="shared" si="10"/>
        <v/>
      </c>
      <c r="G259" s="61" t="str">
        <f t="shared" si="11"/>
        <v/>
      </c>
      <c r="H259" s="62"/>
    </row>
  </sheetData>
  <mergeCells count="6">
    <mergeCell ref="A7:H7"/>
    <mergeCell ref="A1:H2"/>
    <mergeCell ref="D4:E4"/>
    <mergeCell ref="G4:H4"/>
    <mergeCell ref="D5:E5"/>
    <mergeCell ref="G5:H5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E6CDC-1FC3-48FE-94E6-B025B0FD42A9}">
  <dimension ref="A1:I11"/>
  <sheetViews>
    <sheetView workbookViewId="0">
      <selection activeCell="C5" sqref="C5"/>
    </sheetView>
  </sheetViews>
  <sheetFormatPr defaultRowHeight="17" x14ac:dyDescent="0.45"/>
  <cols>
    <col min="1" max="1" width="5.83203125" customWidth="1"/>
    <col min="2" max="2" width="18.33203125" customWidth="1"/>
    <col min="3" max="5" width="15" customWidth="1"/>
    <col min="6" max="7" width="21.6640625" customWidth="1"/>
    <col min="8" max="8" width="18.33203125" customWidth="1"/>
    <col min="9" max="9" width="21.6640625" customWidth="1"/>
  </cols>
  <sheetData>
    <row r="1" spans="1:9" ht="30" customHeight="1" x14ac:dyDescent="0.45">
      <c r="A1" s="173" t="s">
        <v>96</v>
      </c>
      <c r="B1" s="173"/>
      <c r="C1" s="173"/>
      <c r="D1" s="173"/>
      <c r="E1" s="173"/>
      <c r="F1" s="173"/>
      <c r="G1" s="173"/>
      <c r="H1" s="173"/>
      <c r="I1" s="173"/>
    </row>
    <row r="2" spans="1:9" ht="30" customHeight="1" x14ac:dyDescent="0.45">
      <c r="A2" s="173"/>
      <c r="B2" s="173"/>
      <c r="C2" s="173"/>
      <c r="D2" s="173"/>
      <c r="E2" s="173"/>
      <c r="F2" s="173"/>
      <c r="G2" s="173"/>
      <c r="H2" s="173"/>
      <c r="I2" s="173"/>
    </row>
    <row r="3" spans="1:9" ht="17.5" thickBot="1" x14ac:dyDescent="0.5"/>
    <row r="4" spans="1:9" ht="28" customHeight="1" x14ac:dyDescent="0.45">
      <c r="A4" s="174" t="s">
        <v>80</v>
      </c>
      <c r="B4" s="175"/>
      <c r="C4" s="16" t="s">
        <v>83</v>
      </c>
      <c r="D4" s="16" t="s">
        <v>81</v>
      </c>
      <c r="E4" s="16" t="s">
        <v>97</v>
      </c>
      <c r="F4" s="176" t="s">
        <v>93</v>
      </c>
      <c r="G4" s="176"/>
      <c r="H4" s="35" t="s">
        <v>91</v>
      </c>
      <c r="I4" s="39" t="s">
        <v>92</v>
      </c>
    </row>
    <row r="5" spans="1:9" ht="30" customHeight="1" x14ac:dyDescent="0.45">
      <c r="A5" s="177" t="s">
        <v>84</v>
      </c>
      <c r="B5" s="178"/>
      <c r="C5" s="31">
        <f>'신랑측 축의금'!A5</f>
        <v>1</v>
      </c>
      <c r="D5" s="17">
        <f>'신랑측 축의금'!B5</f>
        <v>1</v>
      </c>
      <c r="E5" s="18">
        <f>'신랑측 축의금'!C5</f>
        <v>1</v>
      </c>
      <c r="F5" s="179">
        <f>'신랑측 축의금'!D5</f>
        <v>100000</v>
      </c>
      <c r="G5" s="179"/>
      <c r="H5" s="36">
        <f>'신랑측 축의금'!F5</f>
        <v>65000</v>
      </c>
      <c r="I5" s="33">
        <f>'신랑측 축의금'!G5</f>
        <v>35000</v>
      </c>
    </row>
    <row r="6" spans="1:9" ht="30" customHeight="1" x14ac:dyDescent="0.45">
      <c r="A6" s="180" t="s">
        <v>85</v>
      </c>
      <c r="B6" s="181"/>
      <c r="C6" s="31">
        <f>'신부측 축의금'!A5</f>
        <v>1</v>
      </c>
      <c r="D6" s="17">
        <f>'신부측 축의금'!B5</f>
        <v>1</v>
      </c>
      <c r="E6" s="18">
        <f>'신부측 축의금'!C5</f>
        <v>1</v>
      </c>
      <c r="F6" s="179">
        <f>'신부측 축의금'!D5</f>
        <v>100000</v>
      </c>
      <c r="G6" s="179"/>
      <c r="H6" s="36">
        <f>'신부측 축의금'!F5</f>
        <v>65000</v>
      </c>
      <c r="I6" s="33">
        <f>'신부측 축의금'!G5</f>
        <v>35000</v>
      </c>
    </row>
    <row r="7" spans="1:9" ht="34" customHeight="1" thickBot="1" x14ac:dyDescent="0.5">
      <c r="A7" s="168" t="s">
        <v>86</v>
      </c>
      <c r="B7" s="169"/>
      <c r="C7" s="32">
        <f>C5+C6</f>
        <v>2</v>
      </c>
      <c r="D7" s="19">
        <f>D5+D6</f>
        <v>2</v>
      </c>
      <c r="E7" s="20">
        <f>E5+E6</f>
        <v>2</v>
      </c>
      <c r="F7" s="170">
        <f>F5+F6</f>
        <v>200000</v>
      </c>
      <c r="G7" s="170"/>
      <c r="H7" s="30">
        <f>H5+H6</f>
        <v>130000</v>
      </c>
      <c r="I7" s="34">
        <f>I5+I6</f>
        <v>70000</v>
      </c>
    </row>
    <row r="9" spans="1:9" x14ac:dyDescent="0.45">
      <c r="A9" s="171" t="s">
        <v>98</v>
      </c>
      <c r="B9" s="171"/>
      <c r="C9" s="171"/>
      <c r="D9" s="171"/>
      <c r="E9" s="171"/>
      <c r="F9" s="171"/>
      <c r="G9" s="171"/>
      <c r="H9" s="171"/>
      <c r="I9" s="171"/>
    </row>
    <row r="11" spans="1:9" x14ac:dyDescent="0.45">
      <c r="A11" s="172" t="s">
        <v>99</v>
      </c>
      <c r="B11" s="172"/>
      <c r="C11" s="172"/>
      <c r="D11" s="172"/>
      <c r="E11" s="172"/>
      <c r="F11" s="172"/>
      <c r="G11" s="172"/>
      <c r="H11" s="172"/>
      <c r="I11" s="172"/>
    </row>
  </sheetData>
  <mergeCells count="11">
    <mergeCell ref="A7:B7"/>
    <mergeCell ref="F7:G7"/>
    <mergeCell ref="A9:I9"/>
    <mergeCell ref="A11:I11"/>
    <mergeCell ref="A1:I2"/>
    <mergeCell ref="A4:B4"/>
    <mergeCell ref="F4:G4"/>
    <mergeCell ref="A5:B5"/>
    <mergeCell ref="F5:G5"/>
    <mergeCell ref="A6:B6"/>
    <mergeCell ref="F6:G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본식 당일</vt:lpstr>
      <vt:lpstr>축의대</vt:lpstr>
      <vt:lpstr>신랑측 축의금</vt:lpstr>
      <vt:lpstr>신부측 축의금</vt:lpstr>
      <vt:lpstr>축의금 정산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채연 김</dc:creator>
  <cp:lastModifiedBy>채연 김</cp:lastModifiedBy>
  <dcterms:created xsi:type="dcterms:W3CDTF">2026-05-05T08:15:52Z</dcterms:created>
  <dcterms:modified xsi:type="dcterms:W3CDTF">2026-05-15T08:21:21Z</dcterms:modified>
</cp:coreProperties>
</file>